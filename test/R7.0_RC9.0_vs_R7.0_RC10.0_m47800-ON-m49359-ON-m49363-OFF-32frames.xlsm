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avosoughi\Desktop\CE-git\mpeg127\mpeg127-integration\mpeg-pcc-tmc2\test\"/>
    </mc:Choice>
  </mc:AlternateContent>
  <xr:revisionPtr revIDLastSave="0" documentId="13_ncr:1_{E84F6C78-E3F9-4FA0-9732-F0A04D9EEF12}" xr6:coauthVersionLast="43" xr6:coauthVersionMax="43" xr10:uidLastSave="{00000000-0000-0000-0000-000000000000}"/>
  <bookViews>
    <workbookView xWindow="-120" yWindow="-120" windowWidth="38640" windowHeight="21240"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K37" i="7"/>
  <c r="AJ37" i="7"/>
  <c r="AI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BG35" i="7" s="1"/>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BE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BE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M22" i="7"/>
  <c r="L22" i="7"/>
  <c r="K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M10" i="7"/>
  <c r="L10" i="7"/>
  <c r="K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BE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Z18" i="6"/>
  <c r="AZ19" i="6" s="1"/>
  <c r="AY18" i="6"/>
  <c r="AY19" i="6" s="1"/>
  <c r="AX18" i="6"/>
  <c r="AX19" i="6" s="1"/>
  <c r="AW18" i="6"/>
  <c r="AW19" i="6" s="1"/>
  <c r="AC18" i="6"/>
  <c r="AB18" i="6"/>
  <c r="AA18" i="6"/>
  <c r="Z18" i="6"/>
  <c r="AZ16" i="6"/>
  <c r="AZ17" i="6" s="1"/>
  <c r="AY16" i="6"/>
  <c r="AY17" i="6" s="1"/>
  <c r="AX16" i="6"/>
  <c r="AX17" i="6" s="1"/>
  <c r="AW16" i="6"/>
  <c r="AW17" i="6" s="1"/>
  <c r="AC16" i="6"/>
  <c r="AB16" i="6"/>
  <c r="AA16" i="6"/>
  <c r="Z16" i="6"/>
  <c r="L15" i="6"/>
  <c r="BM11" i="6"/>
  <c r="BL11" i="6"/>
  <c r="BK11" i="6"/>
  <c r="BJ11" i="6"/>
  <c r="BI11" i="6"/>
  <c r="AL11" i="6"/>
  <c r="AK11" i="6"/>
  <c r="BF11" i="6" s="1"/>
  <c r="AJ11" i="6"/>
  <c r="BE11" i="6" s="1"/>
  <c r="AI11" i="6"/>
  <c r="BD11" i="6" s="1"/>
  <c r="AH11" i="6"/>
  <c r="BC11" i="6" s="1"/>
  <c r="AG11" i="6"/>
  <c r="BB11" i="6" s="1"/>
  <c r="AF11" i="6"/>
  <c r="AE11" i="6"/>
  <c r="O11" i="6"/>
  <c r="N11" i="6"/>
  <c r="M11" i="6"/>
  <c r="L11" i="6"/>
  <c r="K11" i="6"/>
  <c r="J11" i="6"/>
  <c r="I11" i="6"/>
  <c r="H11" i="6"/>
  <c r="BM10" i="6"/>
  <c r="BL10" i="6"/>
  <c r="BK10" i="6"/>
  <c r="BJ10" i="6"/>
  <c r="BI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AL9" i="6"/>
  <c r="AK9" i="6"/>
  <c r="AJ9" i="6"/>
  <c r="AI9" i="6"/>
  <c r="AI13" i="6" s="1"/>
  <c r="AG9" i="6"/>
  <c r="AG13" i="6" s="1"/>
  <c r="BB13" i="6" s="1"/>
  <c r="E32" i="1" s="1"/>
  <c r="AF9" i="6"/>
  <c r="AE9" i="6"/>
  <c r="O9" i="6"/>
  <c r="N9" i="6"/>
  <c r="K9" i="6" s="1"/>
  <c r="K13" i="6" s="1"/>
  <c r="M9" i="6"/>
  <c r="M13" i="6" s="1"/>
  <c r="L9" i="6"/>
  <c r="L13" i="6" s="1"/>
  <c r="J9" i="6"/>
  <c r="J13" i="6" s="1"/>
  <c r="I9" i="6"/>
  <c r="H9" i="6"/>
  <c r="BM8" i="6"/>
  <c r="BL8" i="6"/>
  <c r="BK8" i="6"/>
  <c r="BJ8" i="6"/>
  <c r="BI8" i="6"/>
  <c r="BC8" i="6"/>
  <c r="AL8" i="6"/>
  <c r="AK8" i="6"/>
  <c r="AH8" i="6" s="1"/>
  <c r="AJ8" i="6"/>
  <c r="BE8" i="6" s="1"/>
  <c r="AI8" i="6"/>
  <c r="BD8" i="6" s="1"/>
  <c r="AG8" i="6"/>
  <c r="BB8" i="6" s="1"/>
  <c r="AF8" i="6"/>
  <c r="AE8" i="6"/>
  <c r="O8" i="6"/>
  <c r="N8" i="6"/>
  <c r="K8" i="6" s="1"/>
  <c r="M8" i="6"/>
  <c r="L8" i="6"/>
  <c r="J8" i="6"/>
  <c r="I8" i="6"/>
  <c r="H8" i="6"/>
  <c r="BM7" i="6"/>
  <c r="BL7" i="6"/>
  <c r="BK7" i="6"/>
  <c r="BJ7" i="6"/>
  <c r="BI7" i="6"/>
  <c r="AL7" i="6"/>
  <c r="AK7" i="6"/>
  <c r="AH7" i="6" s="1"/>
  <c r="BC7" i="6" s="1"/>
  <c r="AJ7" i="6"/>
  <c r="AI7" i="6"/>
  <c r="BD7" i="6" s="1"/>
  <c r="AG7" i="6"/>
  <c r="BB7" i="6" s="1"/>
  <c r="AF7" i="6"/>
  <c r="AE7" i="6"/>
  <c r="O7" i="6"/>
  <c r="N7" i="6"/>
  <c r="K7" i="6" s="1"/>
  <c r="M7" i="6"/>
  <c r="L7" i="6"/>
  <c r="J7" i="6"/>
  <c r="I7" i="6"/>
  <c r="H7" i="6"/>
  <c r="BM6" i="6"/>
  <c r="BL6" i="6"/>
  <c r="BK6" i="6"/>
  <c r="BJ6" i="6"/>
  <c r="BI6" i="6"/>
  <c r="BF6" i="6"/>
  <c r="AL6" i="6"/>
  <c r="AK6" i="6"/>
  <c r="AH6" i="6" s="1"/>
  <c r="BC6" i="6" s="1"/>
  <c r="AJ6" i="6"/>
  <c r="AI6" i="6"/>
  <c r="BD6" i="6" s="1"/>
  <c r="AG6" i="6"/>
  <c r="BB6" i="6" s="1"/>
  <c r="AF6" i="6"/>
  <c r="AE6" i="6"/>
  <c r="O6" i="6"/>
  <c r="N6" i="6"/>
  <c r="K6" i="6" s="1"/>
  <c r="M6" i="6"/>
  <c r="L6" i="6"/>
  <c r="J6" i="6"/>
  <c r="I6" i="6"/>
  <c r="H6" i="6"/>
  <c r="BM5" i="6"/>
  <c r="BL5" i="6"/>
  <c r="BK5" i="6"/>
  <c r="BJ5" i="6"/>
  <c r="BI5" i="6"/>
  <c r="BB5" i="6"/>
  <c r="AL5" i="6"/>
  <c r="AK5" i="6"/>
  <c r="AH5" i="6" s="1"/>
  <c r="AJ5" i="6"/>
  <c r="AI5" i="6"/>
  <c r="AI12" i="6" s="1"/>
  <c r="AG5" i="6"/>
  <c r="AF5" i="6"/>
  <c r="AE5" i="6"/>
  <c r="O5" i="6"/>
  <c r="N5" i="6"/>
  <c r="K5" i="6" s="1"/>
  <c r="M5" i="6"/>
  <c r="L5" i="6"/>
  <c r="L12" i="6" s="1"/>
  <c r="J5" i="6"/>
  <c r="J12" i="6" s="1"/>
  <c r="I5" i="6"/>
  <c r="H5" i="6"/>
  <c r="AE1" i="6"/>
  <c r="H1" i="6"/>
  <c r="AZ18" i="5"/>
  <c r="AZ19" i="5" s="1"/>
  <c r="AY18" i="5"/>
  <c r="AY19" i="5" s="1"/>
  <c r="AX18" i="5"/>
  <c r="AX19" i="5" s="1"/>
  <c r="AW18" i="5"/>
  <c r="AW19" i="5" s="1"/>
  <c r="C23" i="1" s="1"/>
  <c r="AC18" i="5"/>
  <c r="AB18" i="5"/>
  <c r="AA18" i="5"/>
  <c r="Z18" i="5"/>
  <c r="AZ16" i="5"/>
  <c r="AZ17" i="5" s="1"/>
  <c r="AY16" i="5"/>
  <c r="AY17" i="5" s="1"/>
  <c r="AX16" i="5"/>
  <c r="AX17" i="5" s="1"/>
  <c r="AW16" i="5"/>
  <c r="AW17" i="5" s="1"/>
  <c r="AC16" i="5"/>
  <c r="AB16" i="5"/>
  <c r="AA16" i="5"/>
  <c r="Z16" i="5"/>
  <c r="M15"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H10" i="5" s="1"/>
  <c r="AJ10" i="5"/>
  <c r="AI10" i="5"/>
  <c r="AI14" i="5" s="1"/>
  <c r="AG10" i="5"/>
  <c r="AF10" i="5"/>
  <c r="AE10" i="5"/>
  <c r="O10" i="5"/>
  <c r="N10" i="5"/>
  <c r="M10" i="5"/>
  <c r="M14" i="5" s="1"/>
  <c r="L10" i="5"/>
  <c r="L14" i="5" s="1"/>
  <c r="K10" i="5"/>
  <c r="K14" i="5" s="1"/>
  <c r="J10" i="5"/>
  <c r="J14" i="5" s="1"/>
  <c r="I10" i="5"/>
  <c r="H10" i="5"/>
  <c r="BM9" i="5"/>
  <c r="BL9" i="5"/>
  <c r="BK9" i="5"/>
  <c r="BJ9" i="5"/>
  <c r="BI9" i="5"/>
  <c r="AL9" i="5"/>
  <c r="AK9" i="5"/>
  <c r="AJ9" i="5"/>
  <c r="AJ13" i="5" s="1"/>
  <c r="AI9" i="5"/>
  <c r="AI13" i="5" s="1"/>
  <c r="AH9" i="5"/>
  <c r="AG9" i="5"/>
  <c r="AF9" i="5"/>
  <c r="AE9" i="5"/>
  <c r="O9" i="5"/>
  <c r="N9" i="5"/>
  <c r="M9" i="5"/>
  <c r="M13" i="5" s="1"/>
  <c r="L9" i="5"/>
  <c r="K9" i="5"/>
  <c r="K13" i="5" s="1"/>
  <c r="J9" i="5"/>
  <c r="J13" i="5" s="1"/>
  <c r="I9" i="5"/>
  <c r="H9" i="5"/>
  <c r="BM8" i="5"/>
  <c r="BL8" i="5"/>
  <c r="BK8" i="5"/>
  <c r="BJ8" i="5"/>
  <c r="BI8" i="5"/>
  <c r="AL8" i="5"/>
  <c r="AK8" i="5"/>
  <c r="AH8" i="5" s="1"/>
  <c r="AJ8" i="5"/>
  <c r="BE8" i="5" s="1"/>
  <c r="AI8" i="5"/>
  <c r="BD8" i="5" s="1"/>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H6" i="5" s="1"/>
  <c r="AJ6" i="5"/>
  <c r="BE6" i="5" s="1"/>
  <c r="AI6" i="5"/>
  <c r="BD6" i="5" s="1"/>
  <c r="AG6" i="5"/>
  <c r="AF6" i="5"/>
  <c r="AE6" i="5"/>
  <c r="O6" i="5"/>
  <c r="N6" i="5"/>
  <c r="M6" i="5"/>
  <c r="L6" i="5"/>
  <c r="K6" i="5"/>
  <c r="J6" i="5"/>
  <c r="I6" i="5"/>
  <c r="H6" i="5"/>
  <c r="BM5" i="5"/>
  <c r="BL5" i="5"/>
  <c r="BK5" i="5"/>
  <c r="BJ5" i="5"/>
  <c r="BI5" i="5"/>
  <c r="AL5" i="5"/>
  <c r="AK5" i="5"/>
  <c r="AJ5" i="5"/>
  <c r="AJ15" i="5" s="1"/>
  <c r="BE15" i="5" s="1"/>
  <c r="D22" i="1" s="1"/>
  <c r="AI5" i="5"/>
  <c r="AH5" i="5"/>
  <c r="AG5" i="5"/>
  <c r="AG15" i="5" s="1"/>
  <c r="AF5" i="5"/>
  <c r="AE5" i="5"/>
  <c r="O5" i="5"/>
  <c r="N5" i="5"/>
  <c r="M5" i="5"/>
  <c r="L5" i="5"/>
  <c r="L15" i="5" s="1"/>
  <c r="K5" i="5"/>
  <c r="J5" i="5"/>
  <c r="J12" i="5" s="1"/>
  <c r="I5" i="5"/>
  <c r="H5" i="5"/>
  <c r="AE1" i="5"/>
  <c r="H1"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BG35" i="3" s="1"/>
  <c r="AK35" i="3"/>
  <c r="AJ35" i="3"/>
  <c r="AH35" i="3"/>
  <c r="AG35" i="3"/>
  <c r="O35" i="3"/>
  <c r="N35" i="3"/>
  <c r="M35" i="3"/>
  <c r="L35" i="3"/>
  <c r="K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M30" i="3"/>
  <c r="L30" i="3"/>
  <c r="K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M25" i="3"/>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BE22" i="3" s="1"/>
  <c r="AK22" i="3"/>
  <c r="AJ22" i="3"/>
  <c r="AH22" i="3"/>
  <c r="AG22" i="3"/>
  <c r="O22" i="3"/>
  <c r="N22" i="3"/>
  <c r="M22" i="3"/>
  <c r="L22" i="3"/>
  <c r="K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I19" i="3" s="1"/>
  <c r="AK19" i="3"/>
  <c r="AJ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I16" i="3" s="1"/>
  <c r="AK16" i="3"/>
  <c r="AJ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H10" i="3"/>
  <c r="AG10" i="3"/>
  <c r="O10" i="3"/>
  <c r="N10" i="3"/>
  <c r="M10" i="3"/>
  <c r="L10" i="3"/>
  <c r="K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I7" i="3" s="1"/>
  <c r="AK7" i="3"/>
  <c r="AJ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B1" i="2"/>
  <c r="B2" i="2" s="1"/>
  <c r="C36" i="1"/>
  <c r="C35" i="1"/>
  <c r="C24" i="1"/>
  <c r="BQ30" i="7"/>
  <c r="BS20" i="7"/>
  <c r="BS10" i="7"/>
  <c r="BT15" i="7"/>
  <c r="BT5" i="7"/>
  <c r="BP15" i="7"/>
  <c r="BQ5" i="7"/>
  <c r="BR35" i="7"/>
  <c r="BT30" i="7"/>
  <c r="BQ10" i="7"/>
  <c r="BP5" i="7"/>
  <c r="BM35" i="7"/>
  <c r="BT20" i="7"/>
  <c r="BS15" i="7"/>
  <c r="BJ5" i="7"/>
  <c r="BN30" i="7"/>
  <c r="BR30" i="7"/>
  <c r="BL35" i="7"/>
  <c r="BM30" i="7"/>
  <c r="BM10" i="7"/>
  <c r="BT10" i="7"/>
  <c r="BR5" i="7"/>
  <c r="BL25" i="7"/>
  <c r="BS35" i="7"/>
  <c r="BM20" i="7"/>
  <c r="BL15" i="7"/>
  <c r="BP35" i="7"/>
  <c r="BS30" i="7"/>
  <c r="BL10" i="7"/>
  <c r="BM15" i="7"/>
  <c r="BT35" i="7"/>
  <c r="BL30" i="7"/>
  <c r="BP20" i="7"/>
  <c r="BQ25" i="7"/>
  <c r="BR20" i="7"/>
  <c r="BP10" i="7"/>
  <c r="BQ15" i="7"/>
  <c r="BN15" i="7"/>
  <c r="BL20" i="7"/>
  <c r="BJ25" i="7"/>
  <c r="BQ20" i="7"/>
  <c r="BR15" i="7"/>
  <c r="BQ35" i="7"/>
  <c r="BN5" i="7"/>
  <c r="BL5" i="7"/>
  <c r="BT25" i="7"/>
  <c r="BN10" i="7"/>
  <c r="BR10" i="7"/>
  <c r="BP30" i="7"/>
  <c r="BM25" i="7"/>
  <c r="BR25" i="7"/>
  <c r="BN35" i="7"/>
  <c r="BS25" i="7"/>
  <c r="BM5" i="7"/>
  <c r="BP25" i="7"/>
  <c r="BS5" i="7"/>
  <c r="BN25" i="7"/>
  <c r="BN20" i="7"/>
  <c r="BM30" i="3"/>
  <c r="BL25" i="3"/>
  <c r="BM20" i="3"/>
  <c r="BN35" i="3"/>
  <c r="BP5" i="3"/>
  <c r="BP10" i="3"/>
  <c r="BP35" i="3"/>
  <c r="BL35" i="3"/>
  <c r="BL20" i="3"/>
  <c r="BN10" i="3"/>
  <c r="BM5" i="3"/>
  <c r="BT5" i="3"/>
  <c r="BK10" i="3"/>
  <c r="BM25" i="3"/>
  <c r="BS20" i="3"/>
  <c r="BQ35" i="3"/>
  <c r="BS5" i="3"/>
  <c r="BM15" i="3"/>
  <c r="BT25" i="3"/>
  <c r="BQ20" i="3"/>
  <c r="BL5" i="3"/>
  <c r="BT15" i="3"/>
  <c r="BR35" i="3"/>
  <c r="BN20" i="3"/>
  <c r="BQ25" i="3"/>
  <c r="BP30" i="3"/>
  <c r="BR5" i="3"/>
  <c r="BN15" i="3"/>
  <c r="BK35" i="3"/>
  <c r="BP15" i="3"/>
  <c r="BT20" i="3"/>
  <c r="BT35" i="3"/>
  <c r="BQ5" i="3"/>
  <c r="BR10" i="3"/>
  <c r="BP25" i="3"/>
  <c r="BS15" i="3"/>
  <c r="BM35" i="3"/>
  <c r="BM10" i="3"/>
  <c r="BL10" i="3"/>
  <c r="BL30" i="3"/>
  <c r="BQ10" i="3"/>
  <c r="BJ30" i="3"/>
  <c r="BK20" i="3"/>
  <c r="BT10" i="3"/>
  <c r="BR25" i="3"/>
  <c r="BQ15" i="3"/>
  <c r="BS30" i="3"/>
  <c r="BS35" i="3"/>
  <c r="BR30" i="3"/>
  <c r="BS10" i="3"/>
  <c r="BT30" i="3"/>
  <c r="BN25" i="3"/>
  <c r="BS25" i="3"/>
  <c r="BQ30" i="3"/>
  <c r="BR15" i="3"/>
  <c r="BR20" i="3"/>
  <c r="BL15" i="3"/>
  <c r="BJ10" i="3"/>
  <c r="BK30" i="3"/>
  <c r="BN30" i="3"/>
  <c r="BP20" i="3"/>
  <c r="BN5" i="3"/>
  <c r="BJ25" i="3"/>
  <c r="BF5" i="6" l="1"/>
  <c r="BF8" i="6"/>
  <c r="BB9" i="6"/>
  <c r="AH14" i="6"/>
  <c r="AJ14" i="6"/>
  <c r="AG12" i="6"/>
  <c r="BF7" i="6"/>
  <c r="BC10" i="6"/>
  <c r="AI12" i="5"/>
  <c r="BD12" i="5" s="1"/>
  <c r="AI15" i="5"/>
  <c r="AJ12" i="5"/>
  <c r="BE5" i="5"/>
  <c r="BE9" i="5"/>
  <c r="BD13" i="5"/>
  <c r="BD10" i="5"/>
  <c r="BD5" i="5"/>
  <c r="BD9" i="5"/>
  <c r="AJ14" i="5"/>
  <c r="BE10" i="5"/>
  <c r="BE12" i="5"/>
  <c r="D19" i="1" s="1"/>
  <c r="AI35" i="7"/>
  <c r="BG16" i="7"/>
  <c r="AJ41" i="7"/>
  <c r="AH41" i="7"/>
  <c r="BE38" i="3"/>
  <c r="AI20" i="3"/>
  <c r="AI5" i="7"/>
  <c r="BE5" i="7" s="1"/>
  <c r="BE18" i="7"/>
  <c r="BE22" i="7"/>
  <c r="BG24" i="7"/>
  <c r="AJ42" i="7"/>
  <c r="BE26" i="7"/>
  <c r="J41" i="7"/>
  <c r="BE28" i="7"/>
  <c r="BE10" i="7"/>
  <c r="K16" i="7"/>
  <c r="J42" i="7"/>
  <c r="BG36" i="7"/>
  <c r="AH41" i="3"/>
  <c r="AI10" i="3"/>
  <c r="BE10" i="3" s="1"/>
  <c r="BE23" i="3"/>
  <c r="BE19" i="3"/>
  <c r="AI15" i="3"/>
  <c r="BE15" i="3" s="1"/>
  <c r="AI35" i="3"/>
  <c r="BE35" i="3" s="1"/>
  <c r="BH35" i="3"/>
  <c r="BG39" i="3"/>
  <c r="M41" i="3"/>
  <c r="BG31" i="3"/>
  <c r="BG37" i="7"/>
  <c r="AH42" i="7"/>
  <c r="BE38" i="7"/>
  <c r="AK42" i="7"/>
  <c r="BG33" i="7"/>
  <c r="AI33" i="7"/>
  <c r="BE33" i="7" s="1"/>
  <c r="L42" i="7"/>
  <c r="BE32" i="7"/>
  <c r="L41" i="7"/>
  <c r="AK41" i="7"/>
  <c r="M41" i="7"/>
  <c r="BG28" i="7"/>
  <c r="BG29" i="7"/>
  <c r="BG21" i="7"/>
  <c r="BG23" i="7"/>
  <c r="BE24" i="7"/>
  <c r="BE16" i="7"/>
  <c r="AI17" i="7"/>
  <c r="BE17" i="7" s="1"/>
  <c r="BG19" i="7"/>
  <c r="BE12" i="7"/>
  <c r="BE14" i="7"/>
  <c r="BH10" i="7"/>
  <c r="BG11" i="7"/>
  <c r="BG13" i="7"/>
  <c r="AZ47" i="7"/>
  <c r="C47" i="1" s="1"/>
  <c r="BH5" i="7"/>
  <c r="BA45" i="7"/>
  <c r="BA47" i="7"/>
  <c r="BG9" i="7"/>
  <c r="BB45" i="7"/>
  <c r="BB47" i="7"/>
  <c r="C48" i="1" s="1"/>
  <c r="BE8" i="7"/>
  <c r="AZ45" i="7"/>
  <c r="AI9" i="7"/>
  <c r="BC45" i="7"/>
  <c r="BC47" i="7"/>
  <c r="AI36" i="3"/>
  <c r="BG38" i="3"/>
  <c r="AI39" i="3"/>
  <c r="BE39" i="3" s="1"/>
  <c r="BE37" i="3"/>
  <c r="AK42" i="3"/>
  <c r="K42" i="3"/>
  <c r="L42" i="3"/>
  <c r="AI31" i="3"/>
  <c r="BE31" i="3" s="1"/>
  <c r="AH42" i="3"/>
  <c r="BG32" i="3"/>
  <c r="BG34" i="3"/>
  <c r="J42" i="3"/>
  <c r="BH30" i="3"/>
  <c r="BH42" i="3" s="1"/>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E20" i="3" s="1"/>
  <c r="BH20" i="3" a="1"/>
  <c r="BH20" i="3" s="1"/>
  <c r="BG22" i="3"/>
  <c r="AI25" i="3"/>
  <c r="BG26" i="3"/>
  <c r="M42" i="3"/>
  <c r="BG30" i="3"/>
  <c r="AI33" i="3"/>
  <c r="BE33" i="3" s="1"/>
  <c r="L40" i="3"/>
  <c r="BN40" i="3"/>
  <c r="G9" i="1" s="1"/>
  <c r="BS40" i="3"/>
  <c r="K9" i="1" s="1"/>
  <c r="J43" i="3"/>
  <c r="BQ43" i="3"/>
  <c r="I12" i="1" s="1"/>
  <c r="BD15" i="5"/>
  <c r="BD14" i="5"/>
  <c r="K15" i="6"/>
  <c r="BE7" i="6"/>
  <c r="BD14" i="6"/>
  <c r="K12" i="6"/>
  <c r="BE14" i="6"/>
  <c r="D33" i="1" s="1"/>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23" i="7"/>
  <c r="BH25" i="7" a="1"/>
  <c r="BH25" i="7" s="1"/>
  <c r="BH41" i="7" s="1"/>
  <c r="BE29" i="7"/>
  <c r="K35" i="7"/>
  <c r="K42" i="7" s="1"/>
  <c r="BE35" i="7"/>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BE9" i="7"/>
  <c r="K15" i="7"/>
  <c r="K43" i="7" s="1"/>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J10" i="7"/>
  <c r="BK15" i="7"/>
  <c r="BK35" i="7"/>
  <c r="BJ35" i="7"/>
  <c r="BK30" i="7"/>
  <c r="BK10" i="7"/>
  <c r="BK5" i="7"/>
  <c r="BJ30" i="7"/>
  <c r="BK20" i="7"/>
  <c r="BK25" i="7"/>
  <c r="BJ15" i="7"/>
  <c r="BJ20" i="7"/>
  <c r="BJ35" i="3"/>
  <c r="BJ20" i="3"/>
  <c r="BJ15" i="3"/>
  <c r="BK25" i="3"/>
  <c r="BJ5" i="3"/>
  <c r="BK5" i="3"/>
  <c r="BK15" i="3"/>
  <c r="AI40" i="7" l="1"/>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BE40" i="7" s="1"/>
  <c r="AH13" i="6"/>
  <c r="BC13" i="6" s="1"/>
  <c r="C32" i="1" s="1"/>
  <c r="BC9" i="6"/>
  <c r="BB15" i="6"/>
  <c r="E34" i="1" s="1"/>
  <c r="BK43" i="3"/>
  <c r="D12" i="1" s="1"/>
  <c r="BK40" i="3"/>
  <c r="D9" i="1" s="1"/>
  <c r="K40" i="3"/>
  <c r="K43" i="3"/>
  <c r="BE40" i="3" l="1"/>
  <c r="BE43" i="3"/>
</calcChain>
</file>

<file path=xl/sharedStrings.xml><?xml version="1.0" encoding="utf-8"?>
<sst xmlns="http://schemas.openxmlformats.org/spreadsheetml/2006/main" count="1590" uniqueCount="599">
  <si>
    <t>Reference:</t>
  </si>
  <si>
    <t>R7.0 RC8.0</t>
  </si>
  <si>
    <t>Tested:</t>
  </si>
  <si>
    <t>R7.0 RC 9.0</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</si>
  <si>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</si>
  <si>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</si>
  <si>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</si>
  <si>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</si>
  <si>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</si>
  <si>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</si>
  <si>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</si>
  <si>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</si>
  <si>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</si>
  <si>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</si>
  <si>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</si>
  <si>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</si>
  <si>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</si>
  <si>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</si>
  <si>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</si>
  <si>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</si>
  <si>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</si>
  <si>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</si>
  <si>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</si>
  <si>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</si>
  <si>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</si>
  <si>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</si>
  <si>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</si>
  <si>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</si>
  <si>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</si>
  <si>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</si>
  <si>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</si>
  <si>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</si>
  <si>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</si>
  <si>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</si>
  <si>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</si>
  <si>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</si>
  <si>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</si>
  <si>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</si>
  <si>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</si>
  <si>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</si>
  <si>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</si>
  <si>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</si>
  <si>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</si>
  <si>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</si>
  <si>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</si>
  <si>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</si>
  <si>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</si>
  <si>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</si>
  <si>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</si>
  <si>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</si>
  <si>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</si>
  <si>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</si>
  <si>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</si>
  <si>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</si>
  <si>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</si>
  <si>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</si>
  <si>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</si>
  <si>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</si>
  <si>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</si>
  <si>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</si>
  <si>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</si>
  <si>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</si>
  <si>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</si>
  <si>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</si>
  <si>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</si>
  <si>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</si>
  <si>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</si>
  <si>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</si>
  <si>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</si>
  <si>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</si>
  <si>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</si>
  <si>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</si>
  <si>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</si>
  <si>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</si>
  <si>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</si>
  <si>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</si>
  <si>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</si>
  <si>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</si>
  <si>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</si>
  <si>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</si>
  <si>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</si>
  <si>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</si>
  <si>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</si>
  <si>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</si>
  <si>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</si>
  <si>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</si>
  <si>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</si>
  <si>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</si>
  <si>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</si>
  <si>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</si>
  <si>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</si>
  <si>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</si>
  <si>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</si>
  <si>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</si>
  <si>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</si>
  <si>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</si>
  <si>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</si>
  <si>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</si>
  <si>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</si>
  <si>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</si>
  <si>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</si>
  <si>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</si>
  <si>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</si>
  <si>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</si>
  <si>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</si>
  <si>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</si>
  <si>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</si>
  <si>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</si>
  <si>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</si>
  <si>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</si>
  <si>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</si>
  <si>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</si>
  <si>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</si>
  <si>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</si>
  <si>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</si>
  <si>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</si>
  <si>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</si>
  <si>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</si>
  <si>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</si>
  <si>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</si>
  <si>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</si>
  <si>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</si>
  <si>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</si>
  <si>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</si>
  <si>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</si>
  <si>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</si>
  <si>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</si>
  <si>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</si>
  <si>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</si>
  <si>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</si>
  <si>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</si>
  <si>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</si>
  <si>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</si>
  <si>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</si>
  <si>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</si>
  <si>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</si>
  <si>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</si>
  <si>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</si>
  <si>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</si>
  <si>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</si>
  <si>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</si>
  <si>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</si>
  <si>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</si>
  <si>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</si>
  <si>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</si>
  <si>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</si>
  <si>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</si>
  <si>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</si>
  <si>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</si>
  <si>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</si>
  <si>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</si>
  <si>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</si>
  <si>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</si>
  <si>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</si>
  <si>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</si>
  <si>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</si>
  <si>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</si>
  <si>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</si>
  <si>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</si>
  <si>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</si>
  <si>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</si>
  <si>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</si>
  <si>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</si>
  <si>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</si>
  <si>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</si>
  <si>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</si>
  <si>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</si>
  <si>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</si>
  <si>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</si>
  <si>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</si>
  <si>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</si>
  <si>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</si>
  <si>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</si>
  <si>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</si>
  <si>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</si>
  <si>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</si>
  <si>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</si>
  <si>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</si>
  <si>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</si>
  <si>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</si>
  <si>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</si>
  <si>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</si>
  <si>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</si>
  <si>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</si>
  <si>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</si>
  <si>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</si>
  <si>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</si>
  <si>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</si>
  <si>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</si>
  <si>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</si>
  <si>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</si>
  <si>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</si>
  <si>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</si>
  <si>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</si>
  <si>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</si>
  <si>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</si>
  <si>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</si>
  <si>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</si>
  <si>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</si>
  <si>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</si>
  <si>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</si>
  <si>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</si>
  <si>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</si>
  <si>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</si>
  <si>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</si>
  <si>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</si>
  <si>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</si>
  <si>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</si>
  <si>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</si>
  <si>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</si>
  <si>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</si>
  <si>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</si>
  <si>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</si>
  <si>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</si>
  <si>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</si>
  <si>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</si>
  <si>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</si>
  <si>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</si>
  <si>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</si>
  <si>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</si>
  <si>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</si>
  <si>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</si>
  <si>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</si>
  <si>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</si>
  <si>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</si>
  <si>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</si>
  <si>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</si>
  <si>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</si>
  <si>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</si>
  <si>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</si>
  <si>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</si>
  <si>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</si>
  <si>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</si>
  <si>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</si>
  <si>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</si>
  <si>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</si>
  <si>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</si>
  <si>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</si>
  <si>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</si>
  <si>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</si>
  <si>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</si>
  <si>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</si>
  <si>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</si>
  <si>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</si>
  <si>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</si>
  <si>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</si>
  <si>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</si>
  <si>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</si>
  <si>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</si>
  <si>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</si>
  <si>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</si>
  <si>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</si>
  <si>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</si>
  <si>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</si>
  <si>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</si>
  <si>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</si>
  <si>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</si>
  <si>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</si>
  <si>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</si>
  <si>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</si>
  <si>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</si>
  <si>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</si>
  <si>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</si>
  <si>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</si>
  <si>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</si>
  <si>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</si>
  <si>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</si>
  <si>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</si>
  <si>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</si>
  <si>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</si>
  <si>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</si>
  <si>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</si>
  <si>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</si>
  <si>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</si>
  <si>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</si>
  <si>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</si>
  <si>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</si>
  <si>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</si>
  <si>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</si>
  <si>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</si>
  <si>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</si>
  <si>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</si>
  <si>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</si>
  <si>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</si>
  <si>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</si>
  <si>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</si>
  <si>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</si>
  <si>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</si>
  <si>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</si>
  <si>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</si>
  <si>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</si>
  <si>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</si>
  <si>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</si>
  <si>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</si>
  <si>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</si>
  <si>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</si>
  <si>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</si>
  <si>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</si>
  <si>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</si>
  <si>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</si>
  <si>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</si>
  <si>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</si>
  <si>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</si>
  <si>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</si>
  <si>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</si>
  <si>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</si>
  <si>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</si>
  <si>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</si>
  <si>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</si>
  <si>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</si>
  <si>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</si>
  <si>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</si>
  <si>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</si>
  <si>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</si>
  <si>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</si>
  <si>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</si>
  <si>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</si>
  <si>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</si>
  <si>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</si>
  <si>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</si>
  <si>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</si>
  <si>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</si>
  <si>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</si>
  <si>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</si>
  <si>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</si>
  <si>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</si>
  <si>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</si>
  <si>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</si>
  <si>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</si>
  <si>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</si>
  <si>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</si>
  <si>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</si>
  <si>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</si>
  <si>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</si>
  <si>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</si>
  <si>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</si>
  <si>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</si>
  <si>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</si>
  <si>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</si>
  <si>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</si>
  <si>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</si>
  <si>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</si>
  <si>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</si>
  <si>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</si>
  <si>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</si>
  <si>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</si>
  <si>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</si>
  <si>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</si>
  <si>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</si>
  <si>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</si>
  <si>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</si>
  <si>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</si>
  <si>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</si>
  <si>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</si>
  <si>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</si>
  <si>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</si>
  <si>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</si>
  <si>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</si>
  <si>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</si>
  <si>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</si>
  <si>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</si>
  <si>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</si>
  <si>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</si>
  <si>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</si>
  <si>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</si>
  <si>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</si>
  <si>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</si>
  <si>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</si>
  <si>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</si>
  <si>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</si>
  <si>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</si>
  <si>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</si>
  <si>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</si>
  <si>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</si>
  <si>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</si>
  <si>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</si>
  <si>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</si>
  <si>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</si>
  <si>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</si>
  <si>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</si>
  <si>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</si>
  <si>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</si>
  <si>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</si>
  <si>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</si>
  <si>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</si>
  <si>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</si>
  <si>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</si>
  <si>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</si>
  <si>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</si>
  <si>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</si>
  <si>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</si>
  <si>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</si>
  <si>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</si>
  <si>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</si>
  <si>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</si>
  <si>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</si>
  <si>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</si>
  <si>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</si>
  <si>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</si>
  <si>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</si>
  <si>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</si>
  <si>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</si>
  <si>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</si>
  <si>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</si>
  <si>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</si>
  <si>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</si>
  <si>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</si>
  <si>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</si>
  <si>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</si>
  <si>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</si>
  <si>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</si>
  <si>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</si>
  <si>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</si>
  <si>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</si>
  <si>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</si>
  <si>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</si>
  <si>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</si>
  <si>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</si>
  <si>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</si>
  <si>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</si>
  <si>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</si>
  <si>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</si>
  <si>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</si>
  <si>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</si>
  <si>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</si>
  <si>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</si>
  <si>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</si>
  <si>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</si>
  <si>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</si>
  <si>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</si>
  <si>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</si>
  <si>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</si>
  <si>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</si>
  <si>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</si>
  <si>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</si>
  <si>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</si>
  <si>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</si>
  <si>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</si>
  <si>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</si>
  <si>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</si>
  <si>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</si>
  <si>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</si>
  <si>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</si>
  <si>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</si>
  <si>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</si>
  <si>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</si>
  <si>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</si>
  <si>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</si>
  <si>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</si>
  <si>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</si>
  <si>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</si>
  <si>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</si>
  <si>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</si>
  <si>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</si>
  <si>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</si>
  <si>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</si>
  <si>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</si>
  <si>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</si>
  <si>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</si>
  <si>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</si>
  <si>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</si>
  <si>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</si>
  <si>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</si>
  <si>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</si>
  <si>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</si>
  <si>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</si>
  <si>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</si>
  <si>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</si>
  <si>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</si>
  <si>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</si>
  <si>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</si>
  <si>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</si>
  <si>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</si>
  <si>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</si>
  <si>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</si>
  <si>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</si>
  <si>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</si>
  <si>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</si>
  <si>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</si>
  <si>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</si>
  <si>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</si>
  <si>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</si>
  <si>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</si>
  <si>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</si>
  <si>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</si>
  <si>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</si>
  <si>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</si>
  <si>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</si>
  <si>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</si>
  <si>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</si>
  <si>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</si>
  <si>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</si>
  <si>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</si>
  <si>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</si>
  <si>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</si>
  <si>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</si>
  <si>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</si>
  <si>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</si>
  <si>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</si>
  <si>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</si>
  <si>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</si>
  <si>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</si>
  <si>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</si>
  <si>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</si>
  <si>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</si>
  <si>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</si>
  <si>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</si>
  <si>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</si>
  <si>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</si>
  <si>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</si>
  <si>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</si>
  <si>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</si>
  <si>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</si>
  <si>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</si>
  <si>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</si>
  <si>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</si>
  <si>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</si>
  <si>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</si>
  <si>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</si>
  <si>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</si>
  <si>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</si>
  <si>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</si>
  <si>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</si>
  <si>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</si>
  <si>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</si>
  <si>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</si>
  <si>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</si>
  <si>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</si>
  <si>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</si>
  <si>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</si>
  <si>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</si>
  <si>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</si>
  <si>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</si>
  <si>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</si>
  <si>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</si>
  <si>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</si>
  <si>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</si>
  <si>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</si>
  <si>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</si>
  <si>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</si>
  <si>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</si>
  <si>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</si>
  <si>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</si>
  <si>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</si>
  <si>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</si>
  <si>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</si>
  <si>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</si>
  <si>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</si>
  <si>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</si>
  <si>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</si>
  <si>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</si>
  <si>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</si>
  <si>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</si>
  <si>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</si>
  <si>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</si>
  <si>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</si>
  <si>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</si>
  <si>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</si>
  <si>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</si>
  <si>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</si>
  <si>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</si>
  <si>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</si>
  <si>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</si>
  <si>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</si>
  <si>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</si>
  <si>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</si>
  <si>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</si>
  <si>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</si>
  <si>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</si>
  <si>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</si>
  <si>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</si>
  <si>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</si>
  <si>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</si>
  <si>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</si>
  <si>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</si>
  <si>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</si>
  <si>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</si>
  <si>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</si>
  <si>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</si>
  <si>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</si>
  <si>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</si>
  <si>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</si>
  <si>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</si>
  <si>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</si>
  <si>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</si>
  <si>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</si>
  <si>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</si>
  <si>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</si>
  <si>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</si>
  <si>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</si>
  <si>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</si>
  <si>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</si>
  <si>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</si>
  <si>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</si>
  <si>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</si>
  <si>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</si>
  <si>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</si>
  <si>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9.0</t>
  </si>
  <si>
    <t>RC 10.0: m47800 ON, m49359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</si>
</sst>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RC 9.0</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70.825724999999977</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RC 10.0: m47800 ON, m49359 ON</c:v>
                </c:pt>
              </c:strCache>
            </c:strRef>
          </c:tx>
          <c:spPr>
            <a:ln>
              <a:prstDash val="solid"/>
            </a:ln>
          </c:spPr>
          <c:marker>
            <c:symbol val="none"/>
          </c:marker>
          <c:xVal>
            <c:numRef>
              <c:f>Graphs!graph_a_x_range_B</c:f>
              <c:numCache>
                <c:formatCode>0.00</c:formatCode>
                <c:ptCount val="5"/>
                <c:pt idx="0">
                  <c:v>3.5059607621927613E-2</c:v>
                </c:pt>
                <c:pt idx="1">
                  <c:v>4.8439972839659576E-2</c:v>
                </c:pt>
                <c:pt idx="2">
                  <c:v>6.6680710698511933E-2</c:v>
                </c:pt>
                <c:pt idx="3">
                  <c:v>9.9293948916977223E-2</c:v>
                </c:pt>
                <c:pt idx="4">
                  <c:v>0.15396553027376128</c:v>
                </c:pt>
              </c:numCache>
            </c:numRef>
          </c:xVal>
          <c:yVal>
            <c:numRef>
              <c:f>Graphs!graph_a_y_range_B</c:f>
              <c:numCache>
                <c:formatCode>0.00</c:formatCode>
                <c:ptCount val="5"/>
                <c:pt idx="0">
                  <c:v>66.410465624999901</c:v>
                </c:pt>
                <c:pt idx="1">
                  <c:v>68.208565624999906</c:v>
                </c:pt>
                <c:pt idx="2">
                  <c:v>69.641556249999994</c:v>
                </c:pt>
                <c:pt idx="3">
                  <c:v>70.705543750000004</c:v>
                </c:pt>
                <c:pt idx="4">
                  <c:v>71.92674375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RC 9.0</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72.115756250000018</c:v>
                </c:pt>
                <c:pt idx="3">
                  <c:v>73.390937500000021</c:v>
                </c:pt>
                <c:pt idx="4">
                  <c:v>75.319828124999972</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RC 10.0: m47800 ON, m49359 ON</c:v>
                </c:pt>
              </c:strCache>
            </c:strRef>
          </c:tx>
          <c:spPr>
            <a:ln>
              <a:prstDash val="solid"/>
            </a:ln>
          </c:spPr>
          <c:marker>
            <c:symbol val="none"/>
          </c:marker>
          <c:xVal>
            <c:numRef>
              <c:f>Graphs!graph_b_x_range_B</c:f>
              <c:numCache>
                <c:formatCode>0.00</c:formatCode>
                <c:ptCount val="5"/>
                <c:pt idx="0">
                  <c:v>3.5059607621927613E-2</c:v>
                </c:pt>
                <c:pt idx="1">
                  <c:v>4.8439972839659576E-2</c:v>
                </c:pt>
                <c:pt idx="2">
                  <c:v>6.6680710698511933E-2</c:v>
                </c:pt>
                <c:pt idx="3">
                  <c:v>9.9293948916977223E-2</c:v>
                </c:pt>
                <c:pt idx="4">
                  <c:v>0.15396553027376128</c:v>
                </c:pt>
              </c:numCache>
            </c:numRef>
          </c:xVal>
          <c:yVal>
            <c:numRef>
              <c:f>Graphs!graph_b_y_range_B</c:f>
              <c:numCache>
                <c:formatCode>0.00</c:formatCode>
                <c:ptCount val="5"/>
                <c:pt idx="0">
                  <c:v>67.961903125000006</c:v>
                </c:pt>
                <c:pt idx="1">
                  <c:v>70.074231249999997</c:v>
                </c:pt>
                <c:pt idx="2">
                  <c:v>71.984771875000007</c:v>
                </c:pt>
                <c:pt idx="3">
                  <c:v>73.217493749999903</c:v>
                </c:pt>
                <c:pt idx="4">
                  <c:v>75.208418750000007</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RC 9.0</c:v>
                </c:pt>
              </c:strCache>
            </c:strRef>
          </c:tx>
          <c:spPr>
            <a:ln>
              <a:prstDash val="solid"/>
            </a:ln>
          </c:spPr>
          <c:marker>
            <c:symbol val="none"/>
          </c:marker>
          <c:xVal>
            <c:numRef>
              <c:f>Graphs!graph_c_x_range_A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Graphs!graph_c_y_range_A</c:f>
              <c:numCache>
                <c:formatCode>0.00</c:formatCode>
                <c:ptCount val="5"/>
                <c:pt idx="0">
                  <c:v>32.137684375000013</c:v>
                </c:pt>
                <c:pt idx="1">
                  <c:v>34.399300000000011</c:v>
                </c:pt>
                <c:pt idx="2">
                  <c:v>36.932850000000009</c:v>
                </c:pt>
                <c:pt idx="3">
                  <c:v>39.553746875000002</c:v>
                </c:pt>
                <c:pt idx="4">
                  <c:v>42.01755</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RC 10.0: m47800 ON, m49359 ON</c:v>
                </c:pt>
              </c:strCache>
            </c:strRef>
          </c:tx>
          <c:spPr>
            <a:ln>
              <a:prstDash val="solid"/>
            </a:ln>
          </c:spPr>
          <c:marker>
            <c:symbol val="none"/>
          </c:marker>
          <c:xVal>
            <c:numRef>
              <c:f>Graphs!graph_c_x_range_B</c:f>
              <c:numCache>
                <c:formatCode>0.00</c:formatCode>
                <c:ptCount val="5"/>
                <c:pt idx="0">
                  <c:v>3.5524270398325355E-2</c:v>
                </c:pt>
                <c:pt idx="1">
                  <c:v>7.5641652227070602E-2</c:v>
                </c:pt>
                <c:pt idx="2">
                  <c:v>0.15180212447827082</c:v>
                </c:pt>
                <c:pt idx="3">
                  <c:v>0.2894999711788907</c:v>
                </c:pt>
                <c:pt idx="4">
                  <c:v>0.53673229347411977</c:v>
                </c:pt>
              </c:numCache>
            </c:numRef>
          </c:xVal>
          <c:yVal>
            <c:numRef>
              <c:f>Graphs!graph_c_y_range_B</c:f>
              <c:numCache>
                <c:formatCode>0.00</c:formatCode>
                <c:ptCount val="5"/>
                <c:pt idx="0">
                  <c:v>32.081053124999997</c:v>
                </c:pt>
                <c:pt idx="1">
                  <c:v>34.352959374999998</c:v>
                </c:pt>
                <c:pt idx="2">
                  <c:v>36.895146874999902</c:v>
                </c:pt>
                <c:pt idx="3">
                  <c:v>39.532681249999897</c:v>
                </c:pt>
                <c:pt idx="4">
                  <c:v>42.120487499999903</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RC 9.0</c:v>
                </c:pt>
              </c:strCache>
            </c:strRef>
          </c:tx>
          <c:spPr>
            <a:ln>
              <a:prstDash val="solid"/>
            </a:ln>
          </c:spPr>
          <c:marker>
            <c:symbol val="none"/>
          </c:marker>
          <c:xVal>
            <c:numRef>
              <c:f>Graphs!graph_d_x_range_A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Graphs!graph_d_y_range_A</c:f>
              <c:numCache>
                <c:formatCode>0.00</c:formatCode>
                <c:ptCount val="5"/>
                <c:pt idx="0">
                  <c:v>44.149306250000002</c:v>
                </c:pt>
                <c:pt idx="1">
                  <c:v>45.437112499999998</c:v>
                </c:pt>
                <c:pt idx="2">
                  <c:v>46.544937500000003</c:v>
                </c:pt>
                <c:pt idx="3">
                  <c:v>47.884250000000009</c:v>
                </c:pt>
                <c:pt idx="4">
                  <c:v>49.411421875000002</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RC 10.0: m47800 ON, m49359 ON</c:v>
                </c:pt>
              </c:strCache>
            </c:strRef>
          </c:tx>
          <c:spPr>
            <a:ln>
              <a:prstDash val="solid"/>
            </a:ln>
          </c:spPr>
          <c:marker>
            <c:symbol val="none"/>
          </c:marker>
          <c:xVal>
            <c:numRef>
              <c:f>Graphs!graph_d_x_range_B</c:f>
              <c:numCache>
                <c:formatCode>0.00</c:formatCode>
                <c:ptCount val="5"/>
                <c:pt idx="0">
                  <c:v>3.5524270398325355E-2</c:v>
                </c:pt>
                <c:pt idx="1">
                  <c:v>7.5641652227070602E-2</c:v>
                </c:pt>
                <c:pt idx="2">
                  <c:v>0.15180212447827082</c:v>
                </c:pt>
                <c:pt idx="3">
                  <c:v>0.2894999711788907</c:v>
                </c:pt>
                <c:pt idx="4">
                  <c:v>0.53673229347411977</c:v>
                </c:pt>
              </c:numCache>
            </c:numRef>
          </c:xVal>
          <c:yVal>
            <c:numRef>
              <c:f>Graphs!graph_d_y_range_B</c:f>
              <c:numCache>
                <c:formatCode>0.00</c:formatCode>
                <c:ptCount val="5"/>
                <c:pt idx="0">
                  <c:v>43.981109375000003</c:v>
                </c:pt>
                <c:pt idx="1">
                  <c:v>45.326421874999902</c:v>
                </c:pt>
                <c:pt idx="2">
                  <c:v>46.474106249999998</c:v>
                </c:pt>
                <c:pt idx="3">
                  <c:v>47.832934375000001</c:v>
                </c:pt>
                <c:pt idx="4">
                  <c:v>49.368490625</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RC 9.0</c:v>
                </c:pt>
              </c:strCache>
            </c:strRef>
          </c:tx>
          <c:spPr>
            <a:ln>
              <a:prstDash val="solid"/>
            </a:ln>
          </c:spPr>
          <c:marker>
            <c:symbol val="none"/>
          </c:marker>
          <c:xVal>
            <c:numRef>
              <c:f>Graphs!graph_e_x_range_A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Graphs!graph_e_y_range_A</c:f>
              <c:numCache>
                <c:formatCode>0.00</c:formatCode>
                <c:ptCount val="5"/>
                <c:pt idx="0">
                  <c:v>43.778965624999991</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RC 10.0: m47800 ON, m49359 ON</c:v>
                </c:pt>
              </c:strCache>
            </c:strRef>
          </c:tx>
          <c:spPr>
            <a:ln>
              <a:prstDash val="solid"/>
            </a:ln>
          </c:spPr>
          <c:marker>
            <c:symbol val="none"/>
          </c:marker>
          <c:xVal>
            <c:numRef>
              <c:f>Graphs!graph_e_x_range_B</c:f>
              <c:numCache>
                <c:formatCode>0.00</c:formatCode>
                <c:ptCount val="5"/>
                <c:pt idx="0">
                  <c:v>3.5524270398325355E-2</c:v>
                </c:pt>
                <c:pt idx="1">
                  <c:v>7.5641652227070602E-2</c:v>
                </c:pt>
                <c:pt idx="2">
                  <c:v>0.15180212447827082</c:v>
                </c:pt>
                <c:pt idx="3">
                  <c:v>0.2894999711788907</c:v>
                </c:pt>
                <c:pt idx="4">
                  <c:v>0.53673229347411977</c:v>
                </c:pt>
              </c:numCache>
            </c:numRef>
          </c:xVal>
          <c:yVal>
            <c:numRef>
              <c:f>Graphs!graph_e_y_range_B</c:f>
              <c:numCache>
                <c:formatCode>0.00</c:formatCode>
                <c:ptCount val="5"/>
                <c:pt idx="0">
                  <c:v>43.624343750000001</c:v>
                </c:pt>
                <c:pt idx="1">
                  <c:v>45.056021874999999</c:v>
                </c:pt>
                <c:pt idx="2">
                  <c:v>46.345231249999998</c:v>
                </c:pt>
                <c:pt idx="3">
                  <c:v>47.866275000000002</c:v>
                </c:pt>
                <c:pt idx="4">
                  <c:v>49.482834375000003</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RC 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RC 10.0: m47800 ON, m49359 ON</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B10"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0" t="s">
        <v>1</v>
      </c>
      <c r="D1" s="61"/>
      <c r="E1" s="61"/>
    </row>
    <row r="2" spans="2:12" x14ac:dyDescent="0.25">
      <c r="B2" t="s">
        <v>2</v>
      </c>
      <c r="C2" s="62" t="s">
        <v>3</v>
      </c>
      <c r="D2" s="61"/>
      <c r="E2" s="61"/>
    </row>
    <row r="4" spans="2:12" s="1" customFormat="1" x14ac:dyDescent="0.25">
      <c r="B4" s="1" t="s">
        <v>4</v>
      </c>
    </row>
    <row r="6" spans="2:12" x14ac:dyDescent="0.25">
      <c r="B6" s="63" t="s">
        <v>5</v>
      </c>
      <c r="C6" s="65" t="s">
        <v>6</v>
      </c>
      <c r="D6" s="66"/>
      <c r="E6" s="66"/>
      <c r="F6" s="66"/>
      <c r="G6" s="66"/>
      <c r="H6" s="66"/>
      <c r="I6" s="66"/>
      <c r="J6" s="66"/>
      <c r="K6" s="66"/>
      <c r="L6" s="66"/>
    </row>
    <row r="7" spans="2:12" x14ac:dyDescent="0.25">
      <c r="B7" s="61"/>
      <c r="C7" s="67" t="s">
        <v>7</v>
      </c>
      <c r="D7" s="61"/>
      <c r="E7" s="68" t="s">
        <v>8</v>
      </c>
      <c r="F7" s="61"/>
      <c r="G7" s="61"/>
      <c r="H7" s="67" t="s">
        <v>9</v>
      </c>
      <c r="I7" s="61"/>
      <c r="J7" s="68" t="s">
        <v>10</v>
      </c>
      <c r="K7" s="61"/>
      <c r="L7" s="61"/>
    </row>
    <row r="8" spans="2:12" x14ac:dyDescent="0.25">
      <c r="B8" s="64"/>
      <c r="C8" s="2" t="s">
        <v>11</v>
      </c>
      <c r="D8" s="2" t="s">
        <v>12</v>
      </c>
      <c r="E8" s="3" t="s">
        <v>13</v>
      </c>
      <c r="F8" s="3" t="s">
        <v>14</v>
      </c>
      <c r="G8" s="3" t="s">
        <v>15</v>
      </c>
      <c r="H8" s="2" t="s">
        <v>11</v>
      </c>
      <c r="I8" s="2" t="s">
        <v>12</v>
      </c>
      <c r="J8" s="3" t="s">
        <v>13</v>
      </c>
      <c r="K8" s="3" t="s">
        <v>14</v>
      </c>
      <c r="L8" s="3" t="s">
        <v>15</v>
      </c>
    </row>
    <row r="9" spans="2:12" x14ac:dyDescent="0.25">
      <c r="B9" t="s">
        <v>16</v>
      </c>
      <c r="C9" s="4">
        <f>'C2 lossyG,lossyA,intra'!$BJ$40:$BJ$40</f>
        <v>0.23182698279379416</v>
      </c>
      <c r="D9" s="4">
        <f>'C2 lossyG,lossyA,intra'!$BK$40:$BK$40</f>
        <v>0.24463621107239109</v>
      </c>
      <c r="E9" s="4">
        <f>'C2 lossyG,lossyA,intra'!$BL$40:$BL$40</f>
        <v>4.3438574224702875E-2</v>
      </c>
      <c r="F9" s="4">
        <f>'C2 lossyG,lossyA,intra'!$BM$40:$BM$40</f>
        <v>4.660914408718056E-2</v>
      </c>
      <c r="G9" s="4">
        <f>'C2 lossyG,lossyA,intra'!$BN$40:$BN$40</f>
        <v>3.633101361448296E-2</v>
      </c>
      <c r="H9" s="4">
        <f>'C2 lossyG,lossyA,intra'!$BP$40:$BP$40</f>
        <v>0.14558343273344082</v>
      </c>
      <c r="I9" s="4">
        <f>'C2 lossyG,lossyA,intra'!$BQ$40:$BQ$40</f>
        <v>0.16623713520842309</v>
      </c>
      <c r="J9" s="4">
        <f>'C2 lossyG,lossyA,intra'!$BR$40:$BR$40</f>
        <v>0.10076718200142931</v>
      </c>
      <c r="K9" s="4">
        <f>'C2 lossyG,lossyA,intra'!$BS$40:$BS$40</f>
        <v>9.6723924772921466E-2</v>
      </c>
      <c r="L9" s="4">
        <f>'C2 lossyG,lossyA,intra'!$BT$40:$BT$40</f>
        <v>9.0524374185851963E-2</v>
      </c>
    </row>
    <row r="10" spans="2:12" x14ac:dyDescent="0.25">
      <c r="B10" t="s">
        <v>17</v>
      </c>
      <c r="C10" s="4">
        <f>'C2 lossyG,lossyA,intra'!$BJ$41:$BJ$41</f>
        <v>0.17668492226676258</v>
      </c>
      <c r="D10" s="4">
        <f>'C2 lossyG,lossyA,intra'!$BK$41:$BK$41</f>
        <v>0.1887625391060832</v>
      </c>
      <c r="E10" s="4">
        <f>'C2 lossyG,lossyA,intra'!$BL$41:$BL$41</f>
        <v>-4.3167588232075782E-2</v>
      </c>
      <c r="F10" s="4">
        <f>'C2 lossyG,lossyA,intra'!$BM$41:$BM$41</f>
        <v>-3.0536130961200447E-2</v>
      </c>
      <c r="G10" s="4">
        <f>'C2 lossyG,lossyA,intra'!$BN$41:$BN$41</f>
        <v>-2.2101254143191862E-2</v>
      </c>
      <c r="H10" s="4">
        <f>'C2 lossyG,lossyA,intra'!$BP$41:$BP$41</f>
        <v>6.1794442261294824E-2</v>
      </c>
      <c r="I10" s="4">
        <f>'C2 lossyG,lossyA,intra'!$BQ$41:$BQ$41</f>
        <v>8.3718932386995126E-2</v>
      </c>
      <c r="J10" s="4">
        <f>'C2 lossyG,lossyA,intra'!$BR$41:$BR$41</f>
        <v>-1.2011907990475135E-2</v>
      </c>
      <c r="K10" s="4">
        <f>'C2 lossyG,lossyA,intra'!$BS$41:$BS$41</f>
        <v>-1.4963667975831374E-3</v>
      </c>
      <c r="L10" s="4">
        <f>'C2 lossyG,lossyA,intra'!$BT$41:$BT$41</f>
        <v>6.9927959717099863E-3</v>
      </c>
    </row>
    <row r="11" spans="2:12" x14ac:dyDescent="0.25">
      <c r="B11" t="s">
        <v>18</v>
      </c>
      <c r="C11" s="4">
        <f>'C2 lossyG,lossyA,intra'!$BJ$42:$BJ$42</f>
        <v>6.0865096489207016E-2</v>
      </c>
      <c r="D11" s="4">
        <f>'C2 lossyG,lossyA,intra'!$BK$42:$BK$42</f>
        <v>7.0337334799526197E-2</v>
      </c>
      <c r="E11" s="4">
        <f>'C2 lossyG,lossyA,intra'!$BL$42:$BL$42</f>
        <v>1.5983675038133027E-2</v>
      </c>
      <c r="F11" s="4">
        <f>'C2 lossyG,lossyA,intra'!$BM$42:$BM$42</f>
        <v>2.9284429404277557E-2</v>
      </c>
      <c r="G11" s="4">
        <f>'C2 lossyG,lossyA,intra'!$BN$42:$BN$42</f>
        <v>-2.5774733508883985E-2</v>
      </c>
      <c r="H11" s="4">
        <f>'C2 lossyG,lossyA,intra'!$BP$42:$BP$42</f>
        <v>3.908783707515695E-2</v>
      </c>
      <c r="I11" s="4">
        <f>'C2 lossyG,lossyA,intra'!$BQ$42:$BQ$42</f>
        <v>5.3744695768824347E-2</v>
      </c>
      <c r="J11" s="4">
        <f>'C2 lossyG,lossyA,intra'!$BR$42:$BR$42</f>
        <v>3.1208259516764092E-2</v>
      </c>
      <c r="K11" s="4">
        <f>'C2 lossyG,lossyA,intra'!$BS$42:$BS$42</f>
        <v>3.8940933027364011E-2</v>
      </c>
      <c r="L11" s="4">
        <f>'C2 lossyG,lossyA,intra'!$BT$42:$BT$42</f>
        <v>2.2735135898087622E-3</v>
      </c>
    </row>
    <row r="12" spans="2:12" x14ac:dyDescent="0.25">
      <c r="B12" s="5" t="s">
        <v>19</v>
      </c>
      <c r="C12" s="6">
        <f>'C2 lossyG,lossyA,intra'!$BJ$43:$BJ$43</f>
        <v>0.17510329234576474</v>
      </c>
      <c r="D12" s="6">
        <f>'C2 lossyG,lossyA,intra'!$BK$43:$BK$43</f>
        <v>0.18685457899924285</v>
      </c>
      <c r="E12" s="6">
        <f>'C2 lossyG,lossyA,intra'!$BL$43:$BL$43</f>
        <v>2.3222008391857396E-2</v>
      </c>
      <c r="F12" s="6">
        <f>'C2 lossyG,lossyA,intra'!$BM$43:$BM$43</f>
        <v>3.0638472028010986E-2</v>
      </c>
      <c r="G12" s="6">
        <f>'C2 lossyG,lossyA,intra'!$BN$43:$BN$43</f>
        <v>1.0239047613853145E-2</v>
      </c>
      <c r="H12" s="6">
        <f>'C2 lossyG,lossyA,intra'!$BP$43:$BP$43</f>
        <v>0.10318626390648171</v>
      </c>
      <c r="I12" s="6">
        <f>'C2 lossyG,lossyA,intra'!$BQ$43:$BQ$43</f>
        <v>0.12230812353690516</v>
      </c>
      <c r="J12" s="6">
        <f>'C2 lossyG,lossyA,intra'!$BR$43:$BR$43</f>
        <v>6.4781905578395763E-2</v>
      </c>
      <c r="K12" s="6">
        <f>'C2 lossyG,lossyA,intra'!$BS$43:$BS$43</f>
        <v>6.6183028335547248E-2</v>
      </c>
      <c r="L12" s="6">
        <f>'C2 lossyG,lossyA,intra'!$BT$43:$BT$43</f>
        <v>5.3376759984962198E-2</v>
      </c>
    </row>
    <row r="13" spans="2:12" x14ac:dyDescent="0.25">
      <c r="B13" t="s">
        <v>20</v>
      </c>
      <c r="C13" s="69">
        <f>'C2 lossyG,lossyA,intra'!AZ47</f>
        <v>0.90344234921082112</v>
      </c>
      <c r="D13" s="61"/>
      <c r="E13" s="61"/>
      <c r="F13" s="61"/>
      <c r="G13" s="61"/>
      <c r="H13" s="61"/>
      <c r="I13" s="61"/>
      <c r="J13" s="61"/>
      <c r="K13" s="61"/>
      <c r="L13" s="61"/>
    </row>
    <row r="14" spans="2:12" x14ac:dyDescent="0.25">
      <c r="B14" s="54" t="s">
        <v>21</v>
      </c>
      <c r="C14" s="70">
        <f>'C2 lossyG,lossyA,intra'!BB47</f>
        <v>0.67737434627634829</v>
      </c>
      <c r="D14" s="64"/>
      <c r="E14" s="64"/>
      <c r="F14" s="64"/>
      <c r="G14" s="64"/>
      <c r="H14" s="64"/>
      <c r="I14" s="64"/>
      <c r="J14" s="64"/>
      <c r="K14" s="64"/>
      <c r="L14" s="64"/>
    </row>
    <row r="16" spans="2:12" x14ac:dyDescent="0.25">
      <c r="B16" s="63" t="s">
        <v>22</v>
      </c>
      <c r="C16" s="65" t="s">
        <v>23</v>
      </c>
      <c r="D16" s="66"/>
      <c r="E16" s="66"/>
    </row>
    <row r="17" spans="2:5" x14ac:dyDescent="0.25">
      <c r="B17" s="61"/>
      <c r="C17" s="67" t="s">
        <v>24</v>
      </c>
      <c r="D17" s="61"/>
      <c r="E17" s="61"/>
    </row>
    <row r="18" spans="2:5" x14ac:dyDescent="0.25">
      <c r="B18" s="64"/>
      <c r="C18" s="2" t="s">
        <v>25</v>
      </c>
      <c r="D18" s="2" t="s">
        <v>26</v>
      </c>
      <c r="E18" s="2" t="s">
        <v>27</v>
      </c>
    </row>
    <row r="19" spans="2:5" x14ac:dyDescent="0.25">
      <c r="B19" t="s">
        <v>16</v>
      </c>
      <c r="C19" s="4" t="e">
        <f>'CW losslG,losslA,intra'!BC12</f>
        <v>#DIV/0!</v>
      </c>
      <c r="D19" s="4" t="e">
        <f>'CW losslG,losslA,intra'!BE12</f>
        <v>#DIV/0!</v>
      </c>
      <c r="E19" s="4" t="e">
        <f>'CW losslG,losslA,intra'!BB12</f>
        <v>#DIV/0!</v>
      </c>
    </row>
    <row r="20" spans="2:5" x14ac:dyDescent="0.25">
      <c r="B20" t="s">
        <v>17</v>
      </c>
      <c r="C20" s="4" t="e">
        <f>'CW losslG,losslA,intra'!BC13</f>
        <v>#DIV/0!</v>
      </c>
      <c r="D20" s="4" t="e">
        <f>'CW losslG,losslA,intra'!BE13</f>
        <v>#DIV/0!</v>
      </c>
      <c r="E20" s="4" t="e">
        <f>'CW losslG,losslA,intra'!BB13</f>
        <v>#DIV/0!</v>
      </c>
    </row>
    <row r="21" spans="2:5" x14ac:dyDescent="0.25">
      <c r="B21" t="s">
        <v>18</v>
      </c>
      <c r="C21" s="4" t="e">
        <f>'CW losslG,losslA,intra'!BC14</f>
        <v>#DIV/0!</v>
      </c>
      <c r="D21" s="4" t="e">
        <f>'CW losslG,losslA,intra'!BE14</f>
        <v>#DIV/0!</v>
      </c>
      <c r="E21" s="4" t="e">
        <f>'CW losslG,losslA,intra'!BB14</f>
        <v>#DIV/0!</v>
      </c>
    </row>
    <row r="22" spans="2:5" x14ac:dyDescent="0.25">
      <c r="B22" s="5" t="s">
        <v>19</v>
      </c>
      <c r="C22" s="6" t="e">
        <f>'CW losslG,losslA,intra'!BC15</f>
        <v>#DIV/0!</v>
      </c>
      <c r="D22" s="6" t="e">
        <f>'CW losslG,losslA,intra'!BE15</f>
        <v>#DIV/0!</v>
      </c>
      <c r="E22" s="6" t="e">
        <f>'CW losslG,losslA,intra'!BB15</f>
        <v>#DIV/0!</v>
      </c>
    </row>
    <row r="23" spans="2:5" x14ac:dyDescent="0.25">
      <c r="B23" t="s">
        <v>20</v>
      </c>
      <c r="C23" s="69" t="e">
        <f>'CW losslG,losslA,intra'!AW19</f>
        <v>#NUM!</v>
      </c>
      <c r="D23" s="61"/>
      <c r="E23" s="61"/>
    </row>
    <row r="24" spans="2:5" x14ac:dyDescent="0.25">
      <c r="B24" s="54" t="s">
        <v>21</v>
      </c>
      <c r="C24" s="70" t="e">
        <f>'CW losslG,losslA,intra'!AY19</f>
        <v>#NUM!</v>
      </c>
      <c r="D24" s="64"/>
      <c r="E24" s="64"/>
    </row>
    <row r="26" spans="2:5" s="1" customFormat="1" x14ac:dyDescent="0.25">
      <c r="B26" s="1" t="s">
        <v>28</v>
      </c>
    </row>
    <row r="28" spans="2:5" x14ac:dyDescent="0.25">
      <c r="B28" s="63" t="s">
        <v>29</v>
      </c>
      <c r="C28" s="65" t="s">
        <v>30</v>
      </c>
      <c r="D28" s="66"/>
      <c r="E28" s="66"/>
    </row>
    <row r="29" spans="2:5" x14ac:dyDescent="0.25">
      <c r="B29" s="61"/>
      <c r="C29" s="67" t="s">
        <v>24</v>
      </c>
      <c r="D29" s="61"/>
      <c r="E29" s="61"/>
    </row>
    <row r="30" spans="2:5" x14ac:dyDescent="0.25">
      <c r="B30" s="64"/>
      <c r="C30" s="2" t="s">
        <v>25</v>
      </c>
      <c r="D30" s="2" t="s">
        <v>26</v>
      </c>
      <c r="E30" s="2" t="s">
        <v>27</v>
      </c>
    </row>
    <row r="31" spans="2:5" x14ac:dyDescent="0.25">
      <c r="B31" t="s">
        <v>16</v>
      </c>
      <c r="C31" s="4" t="e">
        <f>'CW losslG,losslA,interLD'!BC12</f>
        <v>#DIV/0!</v>
      </c>
      <c r="D31" s="4" t="e">
        <f>'CW losslG,losslA,interLD'!BE12</f>
        <v>#DIV/0!</v>
      </c>
      <c r="E31" s="4" t="e">
        <f>'CW losslG,losslA,interLD'!BB12</f>
        <v>#DIV/0!</v>
      </c>
    </row>
    <row r="32" spans="2:5" x14ac:dyDescent="0.25">
      <c r="B32" t="s">
        <v>17</v>
      </c>
      <c r="C32" s="4" t="e">
        <f>'CW losslG,losslA,interLD'!BC13</f>
        <v>#DIV/0!</v>
      </c>
      <c r="D32" s="4" t="e">
        <f>'CW losslG,losslA,interLD'!BE13</f>
        <v>#DIV/0!</v>
      </c>
      <c r="E32" s="4" t="e">
        <f>'CW losslG,losslA,interLD'!BB13</f>
        <v>#DIV/0!</v>
      </c>
    </row>
    <row r="33" spans="2:12" x14ac:dyDescent="0.25">
      <c r="B33" t="s">
        <v>18</v>
      </c>
      <c r="C33" s="4" t="e">
        <f>'CW losslG,losslA,interLD'!BC14</f>
        <v>#DIV/0!</v>
      </c>
      <c r="D33" s="4" t="e">
        <f>'CW losslG,losslA,interLD'!BE14</f>
        <v>#DIV/0!</v>
      </c>
      <c r="E33" s="4" t="e">
        <f>'CW losslG,losslA,interLD'!BB14</f>
        <v>#DIV/0!</v>
      </c>
    </row>
    <row r="34" spans="2:12" x14ac:dyDescent="0.25">
      <c r="B34" s="5" t="s">
        <v>19</v>
      </c>
      <c r="C34" s="6" t="e">
        <f>'CW losslG,losslA,interLD'!BC15</f>
        <v>#DIV/0!</v>
      </c>
      <c r="D34" s="6" t="e">
        <f>'CW losslG,losslA,interLD'!BE15</f>
        <v>#DIV/0!</v>
      </c>
      <c r="E34" s="6" t="e">
        <f>'CW losslG,losslA,interLD'!BB15</f>
        <v>#DIV/0!</v>
      </c>
    </row>
    <row r="35" spans="2:12" x14ac:dyDescent="0.25">
      <c r="B35" t="s">
        <v>20</v>
      </c>
      <c r="C35" s="69" t="e">
        <f>'CW losslG,losslA,interLD'!AW19</f>
        <v>#NUM!</v>
      </c>
      <c r="D35" s="61"/>
      <c r="E35" s="61"/>
    </row>
    <row r="36" spans="2:12" x14ac:dyDescent="0.25">
      <c r="B36" s="54" t="s">
        <v>21</v>
      </c>
      <c r="C36" s="70" t="e">
        <f>'CW losslG,losslA,interLD'!AY19</f>
        <v>#NUM!</v>
      </c>
      <c r="D36" s="64"/>
      <c r="E36" s="64"/>
    </row>
    <row r="38" spans="2:12" s="1" customFormat="1" x14ac:dyDescent="0.25">
      <c r="B38" s="1" t="s">
        <v>31</v>
      </c>
    </row>
    <row r="40" spans="2:12" x14ac:dyDescent="0.25">
      <c r="B40" s="63" t="s">
        <v>32</v>
      </c>
      <c r="C40" s="65" t="s">
        <v>33</v>
      </c>
      <c r="D40" s="66"/>
      <c r="E40" s="66"/>
      <c r="F40" s="66"/>
      <c r="G40" s="66"/>
      <c r="H40" s="66"/>
      <c r="I40" s="66"/>
      <c r="J40" s="66"/>
      <c r="K40" s="66"/>
      <c r="L40" s="66"/>
    </row>
    <row r="41" spans="2:12" x14ac:dyDescent="0.25">
      <c r="B41" s="61"/>
      <c r="C41" s="67" t="s">
        <v>7</v>
      </c>
      <c r="D41" s="61"/>
      <c r="E41" s="68" t="s">
        <v>8</v>
      </c>
      <c r="F41" s="61"/>
      <c r="G41" s="61"/>
      <c r="H41" s="67" t="s">
        <v>9</v>
      </c>
      <c r="I41" s="61"/>
      <c r="J41" s="68" t="s">
        <v>10</v>
      </c>
      <c r="K41" s="61"/>
      <c r="L41" s="61"/>
    </row>
    <row r="42" spans="2:12" x14ac:dyDescent="0.25">
      <c r="B42" s="64"/>
      <c r="C42" s="2" t="s">
        <v>11</v>
      </c>
      <c r="D42" s="2" t="s">
        <v>12</v>
      </c>
      <c r="E42" s="3" t="s">
        <v>13</v>
      </c>
      <c r="F42" s="3" t="s">
        <v>14</v>
      </c>
      <c r="G42" s="3" t="s">
        <v>15</v>
      </c>
      <c r="H42" s="2" t="s">
        <v>11</v>
      </c>
      <c r="I42" s="2" t="s">
        <v>12</v>
      </c>
      <c r="J42" s="3" t="s">
        <v>13</v>
      </c>
      <c r="K42" s="3" t="s">
        <v>14</v>
      </c>
      <c r="L42" s="3" t="s">
        <v>15</v>
      </c>
    </row>
    <row r="43" spans="2:12" x14ac:dyDescent="0.25">
      <c r="B43" t="s">
        <v>16</v>
      </c>
      <c r="C43" s="4">
        <f>'C2 lossyG,lossyA,interRA'!$BJ$40:$BJ$40</f>
        <v>0.50446115745974851</v>
      </c>
      <c r="D43" s="4">
        <f>'C2 lossyG,lossyA,interRA'!$BK$40:$BK$40</f>
        <v>0.52268058858675204</v>
      </c>
      <c r="E43" s="4">
        <f>'C2 lossyG,lossyA,interRA'!$BL$40:$BL$40</f>
        <v>0.25971684865480088</v>
      </c>
      <c r="F43" s="4">
        <f>'C2 lossyG,lossyA,interRA'!$BM$40:$BM$40</f>
        <v>0.28906122629081749</v>
      </c>
      <c r="G43" s="4">
        <f>'C2 lossyG,lossyA,interRA'!$BN$40:$BN$40</f>
        <v>0.29794696998607129</v>
      </c>
      <c r="H43" s="4">
        <f>'C2 lossyG,lossyA,interRA'!$BP$40:$BP$40</f>
        <v>0.6665140276453696</v>
      </c>
      <c r="I43" s="4">
        <f>'C2 lossyG,lossyA,interRA'!$BQ$40:$BQ$40</f>
        <v>0.67766818341632873</v>
      </c>
      <c r="J43" s="4">
        <f>'C2 lossyG,lossyA,interRA'!$BR$40:$BR$40</f>
        <v>0.27163852109158415</v>
      </c>
      <c r="K43" s="4">
        <f>'C2 lossyG,lossyA,interRA'!$BS$40:$BS$40</f>
        <v>0.28323963905557736</v>
      </c>
      <c r="L43" s="4">
        <f>'C2 lossyG,lossyA,interRA'!$BT$40:$BT$40</f>
        <v>0.28909085888603958</v>
      </c>
    </row>
    <row r="44" spans="2:12" x14ac:dyDescent="0.25">
      <c r="B44" t="s">
        <v>17</v>
      </c>
      <c r="C44" s="4">
        <f>'C2 lossyG,lossyA,interRA'!$BJ$41:$BJ$41</f>
        <v>0.17621086377482809</v>
      </c>
      <c r="D44" s="4">
        <f>'C2 lossyG,lossyA,interRA'!$BK$41:$BK$41</f>
        <v>0.18784591534105655</v>
      </c>
      <c r="E44" s="4">
        <f>'C2 lossyG,lossyA,interRA'!$BL$41:$BL$41</f>
        <v>-6.8047316289295834E-3</v>
      </c>
      <c r="F44" s="4">
        <f>'C2 lossyG,lossyA,interRA'!$BM$41:$BM$41</f>
        <v>1.4938408031481831E-2</v>
      </c>
      <c r="G44" s="4">
        <f>'C2 lossyG,lossyA,interRA'!$BN$41:$BN$41</f>
        <v>2.8068423406767407E-2</v>
      </c>
      <c r="H44" s="4">
        <f>'C2 lossyG,lossyA,interRA'!$BP$41:$BP$41</f>
        <v>0.13849252606401063</v>
      </c>
      <c r="I44" s="4">
        <f>'C2 lossyG,lossyA,interRA'!$BQ$41:$BQ$41</f>
        <v>0.14881213232843238</v>
      </c>
      <c r="J44" s="4">
        <f>'C2 lossyG,lossyA,interRA'!$BR$41:$BR$41</f>
        <v>3.4397021987635057E-2</v>
      </c>
      <c r="K44" s="4">
        <f>'C2 lossyG,lossyA,interRA'!$BS$41:$BS$41</f>
        <v>5.3574115811033662E-2</v>
      </c>
      <c r="L44" s="4">
        <f>'C2 lossyG,lossyA,interRA'!$BT$41:$BT$41</f>
        <v>6.4007350934273122E-2</v>
      </c>
    </row>
    <row r="45" spans="2:12" x14ac:dyDescent="0.25">
      <c r="B45" t="s">
        <v>18</v>
      </c>
      <c r="C45" s="4">
        <f>'C2 lossyG,lossyA,interRA'!$BJ$42:$BJ$42</f>
        <v>2.8455376727587356E-2</v>
      </c>
      <c r="D45" s="4">
        <f>'C2 lossyG,lossyA,interRA'!$BK$42:$BK$42</f>
        <v>4.4151442931990248E-2</v>
      </c>
      <c r="E45" s="4">
        <f>'C2 lossyG,lossyA,interRA'!$BL$42:$BL$42</f>
        <v>1.1496751186558518E-2</v>
      </c>
      <c r="F45" s="4">
        <f>'C2 lossyG,lossyA,interRA'!$BM$42:$BM$42</f>
        <v>5.2441428792565081E-3</v>
      </c>
      <c r="G45" s="4">
        <f>'C2 lossyG,lossyA,interRA'!$BN$42:$BN$42</f>
        <v>-2.0908090953253911E-2</v>
      </c>
      <c r="H45" s="4">
        <f>'C2 lossyG,lossyA,interRA'!$BP$42:$BP$42</f>
        <v>2.5712483158106647E-2</v>
      </c>
      <c r="I45" s="4">
        <f>'C2 lossyG,lossyA,interRA'!$BQ$42:$BQ$42</f>
        <v>4.664479067639804E-2</v>
      </c>
      <c r="J45" s="4">
        <f>'C2 lossyG,lossyA,interRA'!$BR$42:$BR$42</f>
        <v>1.4039575236281909E-2</v>
      </c>
      <c r="K45" s="4">
        <f>'C2 lossyG,lossyA,interRA'!$BS$42:$BS$42</f>
        <v>1.2830324680566663E-2</v>
      </c>
      <c r="L45" s="4">
        <f>'C2 lossyG,lossyA,interRA'!$BT$42:$BT$42</f>
        <v>-2.5674110923060156E-3</v>
      </c>
    </row>
    <row r="46" spans="2:12" x14ac:dyDescent="0.25">
      <c r="B46" s="5" t="s">
        <v>19</v>
      </c>
      <c r="C46" s="6">
        <f>'C2 lossyG,lossyA,interRA'!$BJ$43:$BJ$43</f>
        <v>0.32156660672414245</v>
      </c>
      <c r="D46" s="6">
        <f>'C2 lossyG,lossyA,interRA'!$BK$43:$BK$43</f>
        <v>0.3381244507931494</v>
      </c>
      <c r="E46" s="6">
        <f>'C2 lossyG,lossyA,interRA'!$BL$43:$BL$43</f>
        <v>0.15072230933762729</v>
      </c>
      <c r="F46" s="6">
        <f>'C2 lossyG,lossyA,interRA'!$BM$43:$BM$43</f>
        <v>0.168810228421895</v>
      </c>
      <c r="G46" s="6">
        <f>'C2 lossyG,lossyA,interRA'!$BN$43:$BN$43</f>
        <v>0.16829144592064924</v>
      </c>
      <c r="H46" s="6">
        <f>'C2 lossyG,lossyA,interRA'!$BP$43:$BP$43</f>
        <v>0.40799622899452892</v>
      </c>
      <c r="I46" s="6">
        <f>'C2 lossyG,lossyA,interRA'!$BQ$43:$BQ$43</f>
        <v>0.42182492104950609</v>
      </c>
      <c r="J46" s="6">
        <f>'C2 lossyG,lossyA,interRA'!$BR$43:$BR$43</f>
        <v>0.1641471795466479</v>
      </c>
      <c r="K46" s="6">
        <f>'C2 lossyG,lossyA,interRA'!$BS$43:$BS$43</f>
        <v>0.1731704744849252</v>
      </c>
      <c r="L46" s="6">
        <f>'C2 lossyG,lossyA,interRA'!$BT$43:$BT$43</f>
        <v>0.17360513775625991</v>
      </c>
    </row>
    <row r="47" spans="2:12" x14ac:dyDescent="0.25">
      <c r="B47" t="s">
        <v>20</v>
      </c>
      <c r="C47" s="69">
        <f>'C2 lossyG,lossyA,interRA'!AZ47</f>
        <v>0.89842289233142825</v>
      </c>
      <c r="D47" s="61"/>
      <c r="E47" s="61"/>
      <c r="F47" s="61"/>
      <c r="G47" s="61"/>
      <c r="H47" s="61"/>
      <c r="I47" s="61"/>
      <c r="J47" s="61"/>
      <c r="K47" s="61"/>
      <c r="L47" s="61"/>
    </row>
    <row r="48" spans="2:12" x14ac:dyDescent="0.25">
      <c r="B48" s="54" t="s">
        <v>21</v>
      </c>
      <c r="C48" s="70">
        <f>'C2 lossyG,lossyA,interRA'!BB47</f>
        <v>0.66354808471941007</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34</v>
      </c>
      <c r="B1" s="7" t="str">
        <f>M1</f>
        <v>C2 lossyG,lossyA,intra</v>
      </c>
      <c r="C1" t="s">
        <v>35</v>
      </c>
      <c r="I1" t="s">
        <v>36</v>
      </c>
      <c r="M1" t="s">
        <v>37</v>
      </c>
      <c r="N1" t="s">
        <v>38</v>
      </c>
      <c r="O1" t="s">
        <v>39</v>
      </c>
      <c r="P1" t="s">
        <v>40</v>
      </c>
    </row>
    <row r="2" spans="1:16" x14ac:dyDescent="0.25">
      <c r="A2" t="s">
        <v>41</v>
      </c>
      <c r="B2" s="7" t="str">
        <f>HLOOKUP(B1,M1:ZZ3,3,0)</f>
        <v>8ivfbv2_loot_vox10</v>
      </c>
      <c r="C2" t="s">
        <v>42</v>
      </c>
      <c r="I2" t="s">
        <v>43</v>
      </c>
      <c r="J2" t="s">
        <v>44</v>
      </c>
      <c r="M2" t="s">
        <v>45</v>
      </c>
      <c r="N2" t="s">
        <v>46</v>
      </c>
      <c r="O2" t="s">
        <v>47</v>
      </c>
      <c r="P2" t="s">
        <v>48</v>
      </c>
    </row>
    <row r="3" spans="1:16" x14ac:dyDescent="0.25">
      <c r="I3" t="s">
        <v>49</v>
      </c>
      <c r="J3" t="s">
        <v>50</v>
      </c>
      <c r="M3" t="s">
        <v>51</v>
      </c>
      <c r="N3" t="s">
        <v>51</v>
      </c>
      <c r="O3" t="s">
        <v>51</v>
      </c>
      <c r="P3" t="s">
        <v>51</v>
      </c>
    </row>
    <row r="4" spans="1:16" x14ac:dyDescent="0.25">
      <c r="A4" t="s">
        <v>52</v>
      </c>
      <c r="B4" s="7" t="s">
        <v>53</v>
      </c>
      <c r="C4" t="s">
        <v>54</v>
      </c>
      <c r="D4" s="7" t="s">
        <v>55</v>
      </c>
      <c r="E4" t="s">
        <v>56</v>
      </c>
      <c r="I4" t="s">
        <v>57</v>
      </c>
      <c r="J4" t="s">
        <v>58</v>
      </c>
      <c r="M4" t="s">
        <v>59</v>
      </c>
      <c r="N4" t="s">
        <v>59</v>
      </c>
      <c r="O4" t="s">
        <v>59</v>
      </c>
      <c r="P4" t="s">
        <v>59</v>
      </c>
    </row>
    <row r="5" spans="1:16" x14ac:dyDescent="0.25">
      <c r="A5" t="s">
        <v>52</v>
      </c>
      <c r="B5" s="7" t="s">
        <v>53</v>
      </c>
      <c r="C5" t="s">
        <v>54</v>
      </c>
      <c r="D5" s="7" t="s">
        <v>60</v>
      </c>
      <c r="E5" t="s">
        <v>61</v>
      </c>
      <c r="I5" t="s">
        <v>62</v>
      </c>
      <c r="J5" t="s">
        <v>63</v>
      </c>
      <c r="M5" t="s">
        <v>64</v>
      </c>
      <c r="N5" t="s">
        <v>64</v>
      </c>
      <c r="O5" t="s">
        <v>64</v>
      </c>
      <c r="P5" t="s">
        <v>64</v>
      </c>
    </row>
    <row r="6" spans="1:16" x14ac:dyDescent="0.25">
      <c r="A6" t="s">
        <v>52</v>
      </c>
      <c r="B6" s="7" t="s">
        <v>65</v>
      </c>
      <c r="C6" t="s">
        <v>54</v>
      </c>
      <c r="D6" s="7" t="s">
        <v>66</v>
      </c>
      <c r="E6" t="s">
        <v>67</v>
      </c>
      <c r="I6" t="s">
        <v>68</v>
      </c>
      <c r="J6" t="s">
        <v>69</v>
      </c>
      <c r="M6" t="s">
        <v>70</v>
      </c>
      <c r="N6" t="s">
        <v>70</v>
      </c>
      <c r="O6" t="s">
        <v>70</v>
      </c>
      <c r="P6" t="s">
        <v>70</v>
      </c>
    </row>
    <row r="7" spans="1:16" x14ac:dyDescent="0.25">
      <c r="A7" t="s">
        <v>52</v>
      </c>
      <c r="B7" s="7" t="s">
        <v>65</v>
      </c>
      <c r="C7" t="s">
        <v>54</v>
      </c>
      <c r="D7" s="7" t="s">
        <v>49</v>
      </c>
      <c r="E7" t="s">
        <v>71</v>
      </c>
      <c r="I7" t="s">
        <v>55</v>
      </c>
      <c r="J7" t="s">
        <v>72</v>
      </c>
      <c r="M7" t="s">
        <v>73</v>
      </c>
      <c r="N7" t="s">
        <v>73</v>
      </c>
      <c r="O7" t="s">
        <v>73</v>
      </c>
      <c r="P7" t="s">
        <v>73</v>
      </c>
    </row>
    <row r="8" spans="1:16" x14ac:dyDescent="0.25">
      <c r="A8" t="s">
        <v>52</v>
      </c>
      <c r="B8" s="7" t="s">
        <v>65</v>
      </c>
      <c r="C8" t="s">
        <v>54</v>
      </c>
      <c r="D8" s="7" t="s">
        <v>62</v>
      </c>
      <c r="E8" t="s">
        <v>74</v>
      </c>
      <c r="I8" t="s">
        <v>75</v>
      </c>
      <c r="J8" t="s">
        <v>76</v>
      </c>
      <c r="M8" t="s">
        <v>77</v>
      </c>
      <c r="N8" t="s">
        <v>77</v>
      </c>
      <c r="O8" t="s">
        <v>77</v>
      </c>
      <c r="P8" t="s">
        <v>77</v>
      </c>
    </row>
    <row r="9" spans="1:16" x14ac:dyDescent="0.25">
      <c r="A9" t="s">
        <v>52</v>
      </c>
      <c r="B9" s="7" t="s">
        <v>78</v>
      </c>
      <c r="C9" t="s">
        <v>54</v>
      </c>
      <c r="D9" s="7" t="s">
        <v>79</v>
      </c>
      <c r="E9" t="s">
        <v>80</v>
      </c>
      <c r="I9" t="s">
        <v>60</v>
      </c>
      <c r="J9" t="s">
        <v>81</v>
      </c>
      <c r="M9" t="s">
        <v>82</v>
      </c>
      <c r="N9" t="s">
        <v>82</v>
      </c>
      <c r="O9" t="s">
        <v>82</v>
      </c>
      <c r="P9" t="s">
        <v>82</v>
      </c>
    </row>
    <row r="10" spans="1:16" x14ac:dyDescent="0.25">
      <c r="I10" t="s">
        <v>83</v>
      </c>
      <c r="J10" t="s">
        <v>84</v>
      </c>
    </row>
    <row r="11" spans="1:16" x14ac:dyDescent="0.25">
      <c r="I11" t="s">
        <v>85</v>
      </c>
      <c r="J11" t="s">
        <v>86</v>
      </c>
    </row>
    <row r="12" spans="1:16" x14ac:dyDescent="0.25">
      <c r="I12" t="s">
        <v>87</v>
      </c>
      <c r="J12" t="s">
        <v>88</v>
      </c>
    </row>
    <row r="13" spans="1:16" x14ac:dyDescent="0.25">
      <c r="I13" t="s">
        <v>89</v>
      </c>
      <c r="J13" t="s">
        <v>90</v>
      </c>
    </row>
    <row r="14" spans="1:16" x14ac:dyDescent="0.25">
      <c r="I14" t="s">
        <v>91</v>
      </c>
      <c r="J14" t="s">
        <v>92</v>
      </c>
    </row>
    <row r="15" spans="1:16" x14ac:dyDescent="0.25">
      <c r="I15" t="s">
        <v>93</v>
      </c>
      <c r="J15" t="s">
        <v>94</v>
      </c>
    </row>
    <row r="16" spans="1:16" x14ac:dyDescent="0.25">
      <c r="I16" t="s">
        <v>95</v>
      </c>
      <c r="J16" t="s">
        <v>96</v>
      </c>
    </row>
    <row r="17" spans="9:10" x14ac:dyDescent="0.25">
      <c r="I17" t="s">
        <v>79</v>
      </c>
      <c r="J17" t="s">
        <v>97</v>
      </c>
    </row>
    <row r="18" spans="9:10" x14ac:dyDescent="0.25">
      <c r="I18" t="s">
        <v>98</v>
      </c>
      <c r="J18" t="s">
        <v>99</v>
      </c>
    </row>
    <row r="19" spans="9:10" x14ac:dyDescent="0.25">
      <c r="I19" t="s">
        <v>100</v>
      </c>
      <c r="J19" t="s">
        <v>101</v>
      </c>
    </row>
    <row r="20" spans="9:10" x14ac:dyDescent="0.25">
      <c r="I20" t="s">
        <v>102</v>
      </c>
      <c r="J20" t="s">
        <v>103</v>
      </c>
    </row>
    <row r="21" spans="9:10" x14ac:dyDescent="0.25">
      <c r="I21" t="s">
        <v>104</v>
      </c>
      <c r="J21" t="s">
        <v>105</v>
      </c>
    </row>
    <row r="22" spans="9:10" x14ac:dyDescent="0.25">
      <c r="I22" t="s">
        <v>66</v>
      </c>
      <c r="J22" t="s">
        <v>106</v>
      </c>
    </row>
    <row r="23" spans="9:10" x14ac:dyDescent="0.25">
      <c r="I23" t="s">
        <v>107</v>
      </c>
      <c r="J23" t="s">
        <v>108</v>
      </c>
    </row>
    <row r="24" spans="9:10" x14ac:dyDescent="0.25">
      <c r="I24" t="s">
        <v>109</v>
      </c>
      <c r="J24" t="s">
        <v>110</v>
      </c>
    </row>
    <row r="25" spans="9:10" x14ac:dyDescent="0.25">
      <c r="I25" t="s">
        <v>111</v>
      </c>
      <c r="J25" t="s">
        <v>112</v>
      </c>
    </row>
    <row r="26" spans="9:10" x14ac:dyDescent="0.25">
      <c r="I26" t="s">
        <v>113</v>
      </c>
      <c r="J26" t="s">
        <v>114</v>
      </c>
    </row>
    <row r="27" spans="9:10" x14ac:dyDescent="0.25">
      <c r="I27" t="s">
        <v>115</v>
      </c>
      <c r="J27" t="s">
        <v>116</v>
      </c>
    </row>
    <row r="28" spans="9:10" x14ac:dyDescent="0.25">
      <c r="I28" t="s">
        <v>117</v>
      </c>
      <c r="J28" t="s">
        <v>118</v>
      </c>
    </row>
    <row r="29" spans="9:10" x14ac:dyDescent="0.25">
      <c r="I29" t="s">
        <v>119</v>
      </c>
      <c r="J29" t="s">
        <v>120</v>
      </c>
    </row>
    <row r="30" spans="9:10" x14ac:dyDescent="0.25">
      <c r="I30" t="s">
        <v>121</v>
      </c>
      <c r="J30" t="s">
        <v>122</v>
      </c>
    </row>
    <row r="31" spans="9:10" x14ac:dyDescent="0.25">
      <c r="I31" t="s">
        <v>123</v>
      </c>
      <c r="J31" t="s">
        <v>124</v>
      </c>
    </row>
    <row r="32" spans="9:10" x14ac:dyDescent="0.25">
      <c r="I32" t="s">
        <v>125</v>
      </c>
      <c r="J32" t="s">
        <v>126</v>
      </c>
    </row>
    <row r="33" spans="9:10" x14ac:dyDescent="0.25">
      <c r="I33" t="s">
        <v>127</v>
      </c>
      <c r="J33" t="s">
        <v>128</v>
      </c>
    </row>
    <row r="34" spans="9:10" x14ac:dyDescent="0.25">
      <c r="I34" t="s">
        <v>129</v>
      </c>
      <c r="J34" t="s">
        <v>130</v>
      </c>
    </row>
    <row r="35" spans="9:10" x14ac:dyDescent="0.25">
      <c r="I35" t="s">
        <v>65</v>
      </c>
      <c r="J35" t="s">
        <v>131</v>
      </c>
    </row>
    <row r="36" spans="9:10" x14ac:dyDescent="0.25">
      <c r="I36" t="s">
        <v>53</v>
      </c>
      <c r="J36" t="s">
        <v>132</v>
      </c>
    </row>
    <row r="37" spans="9:10" x14ac:dyDescent="0.25">
      <c r="I37" t="s">
        <v>133</v>
      </c>
      <c r="J37" t="s">
        <v>134</v>
      </c>
    </row>
    <row r="38" spans="9:10" x14ac:dyDescent="0.25">
      <c r="I38" t="s">
        <v>78</v>
      </c>
      <c r="J38" t="s">
        <v>135</v>
      </c>
    </row>
    <row r="39" spans="9:10" x14ac:dyDescent="0.25">
      <c r="I39" t="s">
        <v>136</v>
      </c>
      <c r="J39" t="s">
        <v>137</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tabSelected="1" zoomScale="70" zoomScaleNormal="70" workbookViewId="0">
      <pane xSplit="2" ySplit="4" topLeftCell="T5" activePane="bottomRight" state="frozen"/>
      <selection pane="topRight" activeCell="C1" sqref="C1"/>
      <selection pane="bottomLeft" activeCell="A5" sqref="A5"/>
      <selection pane="bottomRight" activeCell="AJ75" sqref="AJ7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9.5703125" style="53" customWidth="1"/>
    <col min="79" max="79" width="10.28515625" style="53" customWidth="1"/>
  </cols>
  <sheetData>
    <row r="1" spans="1:88" x14ac:dyDescent="0.25">
      <c r="A1" s="75" t="s">
        <v>138</v>
      </c>
      <c r="B1" s="61"/>
      <c r="C1" s="61"/>
      <c r="D1" s="61"/>
      <c r="E1" s="61"/>
      <c r="F1" s="61"/>
      <c r="G1" s="61"/>
      <c r="I1" s="60" t="s">
        <v>597</v>
      </c>
      <c r="J1" s="61"/>
      <c r="K1" s="61"/>
      <c r="L1" s="61"/>
      <c r="M1" s="61"/>
      <c r="N1" s="61"/>
      <c r="O1" s="61"/>
      <c r="P1" s="61"/>
      <c r="Q1" s="61"/>
      <c r="R1" s="61"/>
      <c r="S1" s="61"/>
      <c r="T1" s="61"/>
      <c r="U1" s="61"/>
      <c r="V1" s="61"/>
      <c r="W1" s="61"/>
      <c r="X1" s="61"/>
      <c r="Y1" s="61"/>
      <c r="Z1" s="61"/>
      <c r="AA1" s="61"/>
      <c r="AB1" s="61"/>
      <c r="AC1" s="61"/>
      <c r="AD1" s="61"/>
      <c r="AE1" s="61"/>
      <c r="AG1" s="62"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2.25"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2.1945899999999998</v>
      </c>
      <c r="J5" s="13">
        <f t="shared" ref="J5:J39" si="1">IF(ISBLANK(S5),"·",S5/D5)</f>
        <v>9.3769589191238817E-2</v>
      </c>
      <c r="K5" s="13">
        <f t="shared" ref="K5:K39" si="2">IF(N5="","·",N5/D5)</f>
        <v>5.9250592675368439E-2</v>
      </c>
      <c r="L5" s="13">
        <f t="shared" ref="L5:L39" si="3">IF(T5="","·",T5/D5)</f>
        <v>3.3647673695852816E-2</v>
      </c>
      <c r="M5" s="13">
        <f t="shared" ref="M5:M39" si="4">IF(ISBLANK(V5),"·",V5/D5)</f>
        <v>3.4518996515870377E-2</v>
      </c>
      <c r="N5" s="10">
        <f t="shared" ref="N5:N39" si="5">IF(OR(ISBLANK(T5),ISBLANK(U5)),"",T5+U5)</f>
        <v>1479152</v>
      </c>
      <c r="O5" s="13">
        <f t="shared" ref="O5:O39" si="6">IF(ISBLANK(S5),"·",S5/P5)</f>
        <v>0.10745034882521623</v>
      </c>
      <c r="P5" s="14">
        <v>21785839</v>
      </c>
      <c r="Q5" s="14">
        <v>680807.46875</v>
      </c>
      <c r="R5" s="14">
        <v>13343.375</v>
      </c>
      <c r="S5" s="15">
        <v>2340896</v>
      </c>
      <c r="T5" s="15">
        <v>839992</v>
      </c>
      <c r="U5" s="15">
        <v>639160</v>
      </c>
      <c r="V5" s="15">
        <v>861744</v>
      </c>
      <c r="W5" s="16">
        <v>66.354737499999999</v>
      </c>
      <c r="X5" s="16">
        <v>68.471134375000005</v>
      </c>
      <c r="Y5" s="16">
        <v>32.137684375000013</v>
      </c>
      <c r="Z5" s="16">
        <v>44.149306250000002</v>
      </c>
      <c r="AA5" s="16">
        <v>43.778965624999991</v>
      </c>
      <c r="AB5" s="17">
        <v>3347.02</v>
      </c>
      <c r="AC5" s="17">
        <v>1588.83</v>
      </c>
      <c r="AD5" s="17">
        <v>11.976000000000001</v>
      </c>
      <c r="AE5" s="17">
        <v>7.5960000000000001</v>
      </c>
      <c r="AG5" s="12">
        <f t="shared" ref="AG5:AG39" si="7">IF(OR(ISBLANK(AQ5),ISBLANK(G5)),"·",AQ5*G5/F5/1000000)</f>
        <v>2.3895974999999998</v>
      </c>
      <c r="AH5" s="13">
        <f t="shared" ref="AH5:AH39" si="8">IF(ISBLANK(AQ5),"·",AQ5/D5)</f>
        <v>0.10210179391476827</v>
      </c>
      <c r="AI5" s="13">
        <f t="shared" ref="AI5:AI39" si="9">IF(AL5="","·",AL5/D5)</f>
        <v>6.6577523516442916E-2</v>
      </c>
      <c r="AJ5" s="13">
        <f t="shared" ref="AJ5:AJ39" si="10">IF(AR5="","·",AR5/D5)</f>
        <v>3.5059607621927613E-2</v>
      </c>
      <c r="AK5" s="13">
        <f t="shared" ref="AK5:AK39" si="11">IF(ISBLANK(AT5),"·",AT5/D5)</f>
        <v>3.5524270398325355E-2</v>
      </c>
      <c r="AL5" s="10">
        <f t="shared" ref="AL5:AL39" si="12">IF(OR(ISBLANK(AR5),ISBLANK(AS5)),"",AR5+AS5)</f>
        <v>1662064</v>
      </c>
      <c r="AM5" s="13">
        <f t="shared" ref="AM5:AM39" si="13">IF(ISBLANK(AQ5),"·",AQ5/AN5)</f>
        <v>0.11699820236438908</v>
      </c>
      <c r="AN5" s="14">
        <v>21785839</v>
      </c>
      <c r="AO5" s="14">
        <v>680807.46875</v>
      </c>
      <c r="AP5" s="14">
        <v>13343.375</v>
      </c>
      <c r="AQ5" s="15">
        <v>2548904</v>
      </c>
      <c r="AR5" s="15">
        <v>875240</v>
      </c>
      <c r="AS5" s="15">
        <v>786824</v>
      </c>
      <c r="AT5" s="15">
        <v>886840</v>
      </c>
      <c r="AU5" s="16">
        <v>66.410465624999901</v>
      </c>
      <c r="AV5" s="16">
        <v>67.961903125000006</v>
      </c>
      <c r="AW5" s="16">
        <v>32.081053124999997</v>
      </c>
      <c r="AX5" s="16">
        <v>43.981109375000003</v>
      </c>
      <c r="AY5" s="16">
        <v>43.624343750000001</v>
      </c>
      <c r="AZ5" s="17">
        <v>3242.35</v>
      </c>
      <c r="BA5" s="17">
        <v>1432.61</v>
      </c>
      <c r="BB5" s="17">
        <v>7.3079999999999998</v>
      </c>
      <c r="BC5" s="17">
        <v>23.797999999999998</v>
      </c>
      <c r="BE5" s="18">
        <f t="shared" ref="BE5:BE43" si="14">AI5/K5</f>
        <v>1.1236600430516945</v>
      </c>
      <c r="BF5" s="19">
        <f t="shared" ref="BF5:BF39" si="15">(AP5/AO5) - (R5/Q5)</f>
        <v>0</v>
      </c>
      <c r="BG5" s="19">
        <f t="shared" ref="BG5:BG39" si="16">(AL5/AQ5) - (N5/S5)</f>
        <v>2.0195775323335163E-2</v>
      </c>
      <c r="BH5" s="19">
        <f t="array" ref="BH5">AVERAGE(AL5:AL9/AQ5:AQ9) - AVERAGE(N5:N9/S5:S9)</f>
        <v>2.1771659019802325E-2</v>
      </c>
      <c r="BJ5" s="18">
        <f>IF( OR(ISBLANK(N5:N9),ISBLANK(AL5:AL9), ISBLANK(W5:W9),ISBLANK(AU5:AU9)), "·", bdRateExtend( N5:N9,W5:W9, AL5:AL9,AU5:AU9))</f>
        <v>0.10714580550447961</v>
      </c>
      <c r="BK5" s="18">
        <f>IF( OR(ISBLANK(N5:N9),ISBLANK(AL5:AL9), ISBLANK(X5:X9),ISBLANK(AV5:AV9)), "·", bdRateExtend( N5:N9,X5:X9, AL5:AL9,AV5:AV9))</f>
        <v>0.12765894571606085</v>
      </c>
      <c r="BL5" s="18">
        <f>IF( OR(ISBLANK(V5:V9),ISBLANK(AT5:AT9), ISBLANK(Y5:Y9),ISBLANK(AW5:AW9)), "·", bdRateExtend( V5:V9,Y5:Y9, AT5:AT9,AW5:AW9))</f>
        <v>-4.1483928463743602E-3</v>
      </c>
      <c r="BM5" s="18">
        <f>IF( OR(ISBLANK(V5:V9),ISBLANK(AT5:AT9), ISBLANK(Z5:Z9),ISBLANK(AX5:AX9)), "·", bdRateExtend( V5:V9,Z5:Z9, AT5:AT9,AX5:AX9))</f>
        <v>3.018026158201792E-2</v>
      </c>
      <c r="BN5" s="18">
        <f>IF( OR(ISBLANK(V5:V9),ISBLANK(AT5:AT9), ISBLANK(AA5:AA9),ISBLANK(AY5:AY9)), "·", bdRateExtend( V5:V9,AA5:AA9, AT5:AT9,AY5:AY9))</f>
        <v>3.5825482030831246E-2</v>
      </c>
      <c r="BP5" s="18">
        <f>IF( OR(ISBLANK(S5:S9),ISBLANK(AQ5:AQ9), ISBLANK(W5:W9),ISBLANK(AU5:AU9)), "·", bdRateExtend( S5:S9,W5:W9, AQ5:AQ9,AU5:AU9))</f>
        <v>5.7760149917361225E-2</v>
      </c>
      <c r="BQ5" s="18">
        <f>IF( OR(ISBLANK(S5:S9),ISBLANK(AQ5:AQ9), ISBLANK(X5:X9),ISBLANK(AV5:AV9)), "·", bdRateExtend( S5:S9,X5:X9, AQ5:AQ9,AV5:AV9))</f>
        <v>9.7525946610988345E-2</v>
      </c>
      <c r="BR5" s="18">
        <f>IF( OR(ISBLANK(S5:S9),ISBLANK(AQ5:AQ9), ISBLANK(Y5:Y9),ISBLANK(AW5:AW9)), "·", bdRateExtend( S5:S9,Y5:Y9, AQ5:AQ9,AW5:AW9))</f>
        <v>3.0168987442358741E-2</v>
      </c>
      <c r="BS5" s="18">
        <f>IF( OR(ISBLANK(S5:S9),ISBLANK(AQ5:AQ9), ISBLANK(Z5:Z9),ISBLANK(AX5:AX9)), "·", bdRateExtend( S5:S9,Z5:Z9, AQ5:AQ9,AX5:AX9))</f>
        <v>5.4685413604530053E-2</v>
      </c>
      <c r="BT5" s="18">
        <f>IF( OR(ISBLANK(S5:S9),ISBLANK(AQ5:AQ9), ISBLANK(AA5:AA9),ISBLANK(AY5:AY9)), "·", bdRateExtend( S5:S9,AA5:AA9, AQ5:AQ9,AY5:AY9))</f>
        <v>5.8486039603758533E-2</v>
      </c>
      <c r="BV5">
        <f t="shared" ref="BV5:BV39" si="17">AN5-P5</f>
        <v>0</v>
      </c>
      <c r="BW5">
        <f t="shared" ref="BW5:BW39" si="18">AO5-Q5</f>
        <v>0</v>
      </c>
      <c r="BX5">
        <f t="shared" ref="BX5:BX39" si="19">AP5-R5</f>
        <v>0</v>
      </c>
      <c r="BY5">
        <f t="shared" ref="BY5:BY39" si="20">AQ5-S5</f>
        <v>208008</v>
      </c>
      <c r="BZ5">
        <f t="shared" ref="BZ5:BZ39" si="21">AR5-T5</f>
        <v>35248</v>
      </c>
      <c r="CA5">
        <f t="shared" ref="CA5:CA39" si="22">AS5-U5</f>
        <v>147664</v>
      </c>
      <c r="CB5">
        <f t="shared" ref="CB5:CB39" si="23">AT5-V5</f>
        <v>25096</v>
      </c>
      <c r="CC5">
        <f t="shared" ref="CC5:CC39" si="24">AU5-W5</f>
        <v>5.5728124999902207E-2</v>
      </c>
      <c r="CD5">
        <f t="shared" ref="CD5:CD39" si="25">AV5-X5</f>
        <v>-0.50923124999999914</v>
      </c>
      <c r="CE5">
        <f t="shared" ref="CE5:CE39" si="26">AW5-Y5</f>
        <v>-5.6631250000016564E-2</v>
      </c>
      <c r="CF5">
        <f t="shared" ref="CF5:CF39" si="27">AX5-Z5</f>
        <v>-0.16819687499999958</v>
      </c>
      <c r="CG5">
        <f t="shared" ref="CG5:CG39" si="28">AY5-AA5</f>
        <v>-0.15462187499998947</v>
      </c>
      <c r="CJ5" t="s">
        <v>239</v>
      </c>
    </row>
    <row r="6" spans="1:88" outlineLevel="1" x14ac:dyDescent="0.25">
      <c r="A6" s="20"/>
      <c r="B6" s="20" t="s">
        <v>51</v>
      </c>
      <c r="C6" s="21" t="s">
        <v>240</v>
      </c>
      <c r="D6" s="20">
        <v>24964341</v>
      </c>
      <c r="E6" s="21">
        <v>10</v>
      </c>
      <c r="F6" s="21">
        <v>32</v>
      </c>
      <c r="G6" s="21">
        <v>30</v>
      </c>
      <c r="I6" s="22">
        <f t="shared" si="0"/>
        <v>3.4326525000000001</v>
      </c>
      <c r="J6" s="23">
        <f t="shared" si="1"/>
        <v>0.14666904285596805</v>
      </c>
      <c r="K6" s="23">
        <f t="shared" si="2"/>
        <v>7.2264354985376936E-2</v>
      </c>
      <c r="L6" s="23">
        <f t="shared" si="3"/>
        <v>4.6661436005861319E-2</v>
      </c>
      <c r="M6" s="23">
        <f t="shared" si="4"/>
        <v>7.4404687870591096E-2</v>
      </c>
      <c r="N6" s="20">
        <f t="shared" si="5"/>
        <v>1804032</v>
      </c>
      <c r="O6" s="23">
        <f t="shared" si="6"/>
        <v>0.15135175890239908</v>
      </c>
      <c r="P6" s="24">
        <v>24191962</v>
      </c>
      <c r="Q6" s="24">
        <v>755998.8125</v>
      </c>
      <c r="R6" s="24">
        <v>18849.4375</v>
      </c>
      <c r="S6" s="25">
        <v>3661496</v>
      </c>
      <c r="T6" s="25">
        <v>1164872</v>
      </c>
      <c r="U6" s="25">
        <v>639160</v>
      </c>
      <c r="V6" s="25">
        <v>1857464</v>
      </c>
      <c r="W6" s="26">
        <v>68.256434374999998</v>
      </c>
      <c r="X6" s="26">
        <v>70.426474999999996</v>
      </c>
      <c r="Y6" s="26">
        <v>34.399300000000011</v>
      </c>
      <c r="Z6" s="26">
        <v>45.437112499999998</v>
      </c>
      <c r="AA6" s="26">
        <v>45.212931249999997</v>
      </c>
      <c r="AB6" s="27">
        <v>3146.16</v>
      </c>
      <c r="AC6" s="27">
        <v>1663.23</v>
      </c>
      <c r="AD6" s="27">
        <v>12.404</v>
      </c>
      <c r="AE6" s="27">
        <v>9.4960000000000004</v>
      </c>
      <c r="AG6" s="22">
        <f t="shared" si="7"/>
        <v>3.6416624999999998</v>
      </c>
      <c r="AH6" s="23">
        <f t="shared" si="8"/>
        <v>0.15559954096124548</v>
      </c>
      <c r="AI6" s="23">
        <f t="shared" si="9"/>
        <v>7.9957888734174878E-2</v>
      </c>
      <c r="AJ6" s="23">
        <f t="shared" si="10"/>
        <v>4.8439972839659576E-2</v>
      </c>
      <c r="AK6" s="23">
        <f t="shared" si="11"/>
        <v>7.5641652227070602E-2</v>
      </c>
      <c r="AL6" s="20">
        <f t="shared" si="12"/>
        <v>1996096</v>
      </c>
      <c r="AM6" s="23">
        <f t="shared" si="13"/>
        <v>0.16056738184360575</v>
      </c>
      <c r="AN6" s="24">
        <v>24191962</v>
      </c>
      <c r="AO6" s="24">
        <v>755998.8125</v>
      </c>
      <c r="AP6" s="24">
        <v>18849.4375</v>
      </c>
      <c r="AQ6" s="25">
        <v>3884440</v>
      </c>
      <c r="AR6" s="25">
        <v>1209272</v>
      </c>
      <c r="AS6" s="25">
        <v>786824</v>
      </c>
      <c r="AT6" s="25">
        <v>1888344</v>
      </c>
      <c r="AU6" s="26">
        <v>68.208565624999906</v>
      </c>
      <c r="AV6" s="26">
        <v>70.074231249999997</v>
      </c>
      <c r="AW6" s="26">
        <v>34.352959374999998</v>
      </c>
      <c r="AX6" s="26">
        <v>45.326421874999902</v>
      </c>
      <c r="AY6" s="26">
        <v>45.056021874999999</v>
      </c>
      <c r="AZ6" s="27">
        <v>3231.02</v>
      </c>
      <c r="BA6" s="27">
        <v>1503.67</v>
      </c>
      <c r="BB6" s="27">
        <v>7.5439999999999996</v>
      </c>
      <c r="BC6" s="27">
        <v>23.248999999999999</v>
      </c>
      <c r="BE6" s="28">
        <f t="shared" si="14"/>
        <v>1.1064637434369236</v>
      </c>
      <c r="BF6" s="29">
        <f t="shared" si="15"/>
        <v>0</v>
      </c>
      <c r="BG6" s="29">
        <f t="shared" si="16"/>
        <v>2.1166166672245579E-2</v>
      </c>
      <c r="BH6" s="29"/>
      <c r="BJ6" s="28"/>
      <c r="BK6" s="28"/>
      <c r="BL6" s="28"/>
      <c r="BM6" s="28"/>
      <c r="BN6" s="28"/>
      <c r="BP6" s="28"/>
      <c r="BQ6" s="28"/>
      <c r="BR6" s="28"/>
      <c r="BS6" s="28"/>
      <c r="BT6" s="28"/>
      <c r="BV6">
        <f t="shared" si="17"/>
        <v>0</v>
      </c>
      <c r="BW6">
        <f t="shared" si="18"/>
        <v>0</v>
      </c>
      <c r="BX6">
        <f t="shared" si="19"/>
        <v>0</v>
      </c>
      <c r="BY6">
        <f t="shared" si="20"/>
        <v>222944</v>
      </c>
      <c r="BZ6">
        <f t="shared" si="21"/>
        <v>44400</v>
      </c>
      <c r="CA6">
        <f t="shared" si="22"/>
        <v>147664</v>
      </c>
      <c r="CB6">
        <f t="shared" si="23"/>
        <v>30880</v>
      </c>
      <c r="CC6">
        <f t="shared" si="24"/>
        <v>-4.7868750000091609E-2</v>
      </c>
      <c r="CD6">
        <f t="shared" si="25"/>
        <v>-0.35224374999999952</v>
      </c>
      <c r="CE6">
        <f t="shared" si="26"/>
        <v>-4.6340625000013347E-2</v>
      </c>
      <c r="CF6">
        <f t="shared" si="27"/>
        <v>-0.11069062500009608</v>
      </c>
      <c r="CG6">
        <f t="shared" si="28"/>
        <v>-0.15690937499999791</v>
      </c>
      <c r="CJ6" t="s">
        <v>239</v>
      </c>
    </row>
    <row r="7" spans="1:88" outlineLevel="1" x14ac:dyDescent="0.25">
      <c r="A7" s="10"/>
      <c r="B7" s="10" t="s">
        <v>51</v>
      </c>
      <c r="C7" s="11" t="s">
        <v>241</v>
      </c>
      <c r="D7" s="10">
        <v>24964341</v>
      </c>
      <c r="E7" s="11">
        <v>10</v>
      </c>
      <c r="F7" s="11">
        <v>32</v>
      </c>
      <c r="G7" s="11">
        <v>30</v>
      </c>
      <c r="I7" s="12">
        <f t="shared" si="0"/>
        <v>5.6684099999999997</v>
      </c>
      <c r="J7" s="13">
        <f t="shared" si="1"/>
        <v>0.24219762099868769</v>
      </c>
      <c r="K7" s="13">
        <f t="shared" si="2"/>
        <v>9.0840611414497188E-2</v>
      </c>
      <c r="L7" s="13">
        <f t="shared" si="3"/>
        <v>6.5237692434981565E-2</v>
      </c>
      <c r="M7" s="13">
        <f t="shared" si="4"/>
        <v>0.15135700958419052</v>
      </c>
      <c r="N7" s="10">
        <f t="shared" si="5"/>
        <v>2267776</v>
      </c>
      <c r="O7" s="13">
        <f t="shared" si="6"/>
        <v>0.24372183795884395</v>
      </c>
      <c r="P7" s="14">
        <v>24808216</v>
      </c>
      <c r="Q7" s="14">
        <v>775256.75</v>
      </c>
      <c r="R7" s="14">
        <v>20726.03125</v>
      </c>
      <c r="S7" s="15">
        <v>6046304</v>
      </c>
      <c r="T7" s="15">
        <v>1628616</v>
      </c>
      <c r="U7" s="15">
        <v>639160</v>
      </c>
      <c r="V7" s="15">
        <v>3778528</v>
      </c>
      <c r="W7" s="16">
        <v>69.684690625000002</v>
      </c>
      <c r="X7" s="16">
        <v>72.115756250000018</v>
      </c>
      <c r="Y7" s="16">
        <v>36.932850000000009</v>
      </c>
      <c r="Z7" s="16">
        <v>46.544937500000003</v>
      </c>
      <c r="AA7" s="16">
        <v>46.445749999999997</v>
      </c>
      <c r="AB7" s="17">
        <v>3273.69</v>
      </c>
      <c r="AC7" s="17">
        <v>1671.34</v>
      </c>
      <c r="AD7" s="17">
        <v>10.976000000000001</v>
      </c>
      <c r="AE7" s="17">
        <v>9.1199999999999992</v>
      </c>
      <c r="AG7" s="12">
        <f t="shared" si="7"/>
        <v>5.8510350000000004</v>
      </c>
      <c r="AH7" s="13">
        <f t="shared" si="8"/>
        <v>0.25000075107129804</v>
      </c>
      <c r="AI7" s="13">
        <f t="shared" si="9"/>
        <v>9.8198626593027236E-2</v>
      </c>
      <c r="AJ7" s="13">
        <f t="shared" si="10"/>
        <v>6.6680710698511933E-2</v>
      </c>
      <c r="AK7" s="13">
        <f t="shared" si="11"/>
        <v>0.15180212447827082</v>
      </c>
      <c r="AL7" s="10">
        <f t="shared" si="12"/>
        <v>2451464</v>
      </c>
      <c r="AM7" s="13">
        <f t="shared" si="13"/>
        <v>0.25157407529828024</v>
      </c>
      <c r="AN7" s="14">
        <v>24808216</v>
      </c>
      <c r="AO7" s="14">
        <v>775256.75</v>
      </c>
      <c r="AP7" s="14">
        <v>20726.03125</v>
      </c>
      <c r="AQ7" s="15">
        <v>6241104</v>
      </c>
      <c r="AR7" s="15">
        <v>1664640</v>
      </c>
      <c r="AS7" s="15">
        <v>786824</v>
      </c>
      <c r="AT7" s="15">
        <v>3789640</v>
      </c>
      <c r="AU7" s="16">
        <v>69.641556249999994</v>
      </c>
      <c r="AV7" s="16">
        <v>71.984771875000007</v>
      </c>
      <c r="AW7" s="16">
        <v>36.895146874999902</v>
      </c>
      <c r="AX7" s="16">
        <v>46.474106249999998</v>
      </c>
      <c r="AY7" s="16">
        <v>46.345231249999998</v>
      </c>
      <c r="AZ7" s="17">
        <v>3235.57</v>
      </c>
      <c r="BA7" s="17">
        <v>1574.57</v>
      </c>
      <c r="BB7" s="17">
        <v>7.7619999999999996</v>
      </c>
      <c r="BC7" s="17">
        <v>24.716999999999999</v>
      </c>
      <c r="BE7" s="18">
        <f t="shared" si="14"/>
        <v>1.0809991815770164</v>
      </c>
      <c r="BF7" s="19">
        <f t="shared" si="15"/>
        <v>0</v>
      </c>
      <c r="BG7" s="19">
        <f t="shared" si="16"/>
        <v>1.772518550754637E-2</v>
      </c>
      <c r="BH7" s="19"/>
      <c r="BJ7" s="18"/>
      <c r="BK7" s="18"/>
      <c r="BL7" s="18"/>
      <c r="BM7" s="18"/>
      <c r="BN7" s="18"/>
      <c r="BP7" s="18"/>
      <c r="BQ7" s="18"/>
      <c r="BR7" s="18"/>
      <c r="BS7" s="18"/>
      <c r="BT7" s="18"/>
      <c r="BV7">
        <f t="shared" si="17"/>
        <v>0</v>
      </c>
      <c r="BW7">
        <f t="shared" si="18"/>
        <v>0</v>
      </c>
      <c r="BX7">
        <f t="shared" si="19"/>
        <v>0</v>
      </c>
      <c r="BY7">
        <f t="shared" si="20"/>
        <v>194800</v>
      </c>
      <c r="BZ7">
        <f t="shared" si="21"/>
        <v>36024</v>
      </c>
      <c r="CA7">
        <f t="shared" si="22"/>
        <v>147664</v>
      </c>
      <c r="CB7">
        <f t="shared" si="23"/>
        <v>11112</v>
      </c>
      <c r="CC7">
        <f t="shared" si="24"/>
        <v>-4.3134375000008163E-2</v>
      </c>
      <c r="CD7">
        <f t="shared" si="25"/>
        <v>-0.13098437500001125</v>
      </c>
      <c r="CE7">
        <f t="shared" si="26"/>
        <v>-3.7703125000106752E-2</v>
      </c>
      <c r="CF7">
        <f t="shared" si="27"/>
        <v>-7.0831250000004786E-2</v>
      </c>
      <c r="CG7">
        <f t="shared" si="28"/>
        <v>-0.1005187499999991</v>
      </c>
      <c r="CJ7" t="s">
        <v>239</v>
      </c>
    </row>
    <row r="8" spans="1:88" outlineLevel="1" x14ac:dyDescent="0.25">
      <c r="A8" s="20"/>
      <c r="B8" s="20" t="s">
        <v>51</v>
      </c>
      <c r="C8" s="21" t="s">
        <v>242</v>
      </c>
      <c r="D8" s="20">
        <v>24964341</v>
      </c>
      <c r="E8" s="21">
        <v>10</v>
      </c>
      <c r="F8" s="21">
        <v>32</v>
      </c>
      <c r="G8" s="21">
        <v>30</v>
      </c>
      <c r="I8" s="22">
        <f t="shared" si="0"/>
        <v>9.9174600000000002</v>
      </c>
      <c r="J8" s="23">
        <f t="shared" si="1"/>
        <v>0.42374937916446503</v>
      </c>
      <c r="K8" s="23">
        <f t="shared" si="2"/>
        <v>0.12195859686422325</v>
      </c>
      <c r="L8" s="23">
        <f t="shared" si="3"/>
        <v>9.6355677884707627E-2</v>
      </c>
      <c r="M8" s="23">
        <f t="shared" si="4"/>
        <v>0.30179078230024176</v>
      </c>
      <c r="N8" s="20">
        <f t="shared" si="5"/>
        <v>3044616</v>
      </c>
      <c r="O8" s="23">
        <f t="shared" si="6"/>
        <v>0.4100590092747799</v>
      </c>
      <c r="P8" s="24">
        <v>25797809</v>
      </c>
      <c r="Q8" s="24">
        <v>806181.53125</v>
      </c>
      <c r="R8" s="24">
        <v>23962.09375</v>
      </c>
      <c r="S8" s="25">
        <v>10578624</v>
      </c>
      <c r="T8" s="25">
        <v>2405456</v>
      </c>
      <c r="U8" s="25">
        <v>639160</v>
      </c>
      <c r="V8" s="25">
        <v>7534008</v>
      </c>
      <c r="W8" s="26">
        <v>70.825724999999977</v>
      </c>
      <c r="X8" s="26">
        <v>73.390937500000021</v>
      </c>
      <c r="Y8" s="26">
        <v>39.553746875000002</v>
      </c>
      <c r="Z8" s="26">
        <v>47.884250000000009</v>
      </c>
      <c r="AA8" s="26">
        <v>47.908200000000001</v>
      </c>
      <c r="AB8" s="27">
        <v>3246.52</v>
      </c>
      <c r="AC8" s="27">
        <v>1811.9</v>
      </c>
      <c r="AD8" s="27">
        <v>12.448</v>
      </c>
      <c r="AE8" s="27">
        <v>10.864000000000001</v>
      </c>
      <c r="AG8" s="22">
        <f t="shared" si="7"/>
        <v>9.8370075000000003</v>
      </c>
      <c r="AH8" s="23">
        <f t="shared" si="8"/>
        <v>0.42031183599038324</v>
      </c>
      <c r="AI8" s="23">
        <f t="shared" si="9"/>
        <v>0.13081186481149251</v>
      </c>
      <c r="AJ8" s="23">
        <f t="shared" si="10"/>
        <v>9.9293948916977223E-2</v>
      </c>
      <c r="AK8" s="23">
        <f t="shared" si="11"/>
        <v>0.2894999711788907</v>
      </c>
      <c r="AL8" s="20">
        <f t="shared" si="12"/>
        <v>3265632</v>
      </c>
      <c r="AM8" s="23">
        <f t="shared" si="13"/>
        <v>0.40673252523111558</v>
      </c>
      <c r="AN8" s="24">
        <v>25797809</v>
      </c>
      <c r="AO8" s="24">
        <v>806181.53125</v>
      </c>
      <c r="AP8" s="24">
        <v>23962.09375</v>
      </c>
      <c r="AQ8" s="25">
        <v>10492808</v>
      </c>
      <c r="AR8" s="25">
        <v>2478808</v>
      </c>
      <c r="AS8" s="25">
        <v>786824</v>
      </c>
      <c r="AT8" s="25">
        <v>7227176</v>
      </c>
      <c r="AU8" s="26">
        <v>70.705543750000004</v>
      </c>
      <c r="AV8" s="26">
        <v>73.217493749999903</v>
      </c>
      <c r="AW8" s="26">
        <v>39.532681249999897</v>
      </c>
      <c r="AX8" s="26">
        <v>47.832934375000001</v>
      </c>
      <c r="AY8" s="26">
        <v>47.866275000000002</v>
      </c>
      <c r="AZ8" s="27">
        <v>3262.18</v>
      </c>
      <c r="BA8" s="27">
        <v>1699.62</v>
      </c>
      <c r="BB8" s="27">
        <v>8.3360000000000003</v>
      </c>
      <c r="BC8" s="27">
        <v>26.777000000000001</v>
      </c>
      <c r="BE8" s="28">
        <f t="shared" si="14"/>
        <v>1.0725924057418077</v>
      </c>
      <c r="BF8" s="29">
        <f t="shared" si="15"/>
        <v>0</v>
      </c>
      <c r="BG8" s="29">
        <f t="shared" si="16"/>
        <v>2.3417426372249917E-2</v>
      </c>
      <c r="BH8" s="29"/>
      <c r="BJ8" s="28"/>
      <c r="BK8" s="28"/>
      <c r="BL8" s="28"/>
      <c r="BM8" s="28"/>
      <c r="BN8" s="28"/>
      <c r="BP8" s="28"/>
      <c r="BQ8" s="28"/>
      <c r="BR8" s="28"/>
      <c r="BS8" s="28"/>
      <c r="BT8" s="28"/>
      <c r="BV8">
        <f t="shared" si="17"/>
        <v>0</v>
      </c>
      <c r="BW8">
        <f t="shared" si="18"/>
        <v>0</v>
      </c>
      <c r="BX8">
        <f t="shared" si="19"/>
        <v>0</v>
      </c>
      <c r="BY8">
        <f t="shared" si="20"/>
        <v>-85816</v>
      </c>
      <c r="BZ8">
        <f t="shared" si="21"/>
        <v>73352</v>
      </c>
      <c r="CA8">
        <f t="shared" si="22"/>
        <v>147664</v>
      </c>
      <c r="CB8">
        <f t="shared" si="23"/>
        <v>-306832</v>
      </c>
      <c r="CC8">
        <f t="shared" si="24"/>
        <v>-0.12018124999997326</v>
      </c>
      <c r="CD8">
        <f t="shared" si="25"/>
        <v>-0.1734437500001178</v>
      </c>
      <c r="CE8">
        <f t="shared" si="26"/>
        <v>-2.1065625000105115E-2</v>
      </c>
      <c r="CF8">
        <f t="shared" si="27"/>
        <v>-5.1315625000007969E-2</v>
      </c>
      <c r="CG8">
        <f t="shared" si="28"/>
        <v>-4.1924999999999102E-2</v>
      </c>
      <c r="CJ8" t="s">
        <v>239</v>
      </c>
    </row>
    <row r="9" spans="1:88" ht="15.75" customHeight="1" outlineLevel="1" thickBot="1" x14ac:dyDescent="0.3">
      <c r="A9" s="10"/>
      <c r="B9" s="30" t="s">
        <v>51</v>
      </c>
      <c r="C9" s="31" t="s">
        <v>243</v>
      </c>
      <c r="D9" s="30">
        <v>24964341</v>
      </c>
      <c r="E9" s="31">
        <v>10</v>
      </c>
      <c r="F9" s="31">
        <v>32</v>
      </c>
      <c r="G9" s="31">
        <v>30</v>
      </c>
      <c r="I9" s="32">
        <f t="shared" si="0"/>
        <v>18.126877499999999</v>
      </c>
      <c r="J9" s="33">
        <f t="shared" si="1"/>
        <v>0.77451818175372622</v>
      </c>
      <c r="K9" s="33">
        <f t="shared" si="2"/>
        <v>0.19737016090270518</v>
      </c>
      <c r="L9" s="33">
        <f t="shared" si="3"/>
        <v>0.14831747411237492</v>
      </c>
      <c r="M9" s="33">
        <f t="shared" si="4"/>
        <v>0.57714802085102102</v>
      </c>
      <c r="N9" s="30">
        <f t="shared" si="5"/>
        <v>4927216</v>
      </c>
      <c r="O9" s="33">
        <f t="shared" si="6"/>
        <v>0.77750657672276235</v>
      </c>
      <c r="P9" s="34">
        <v>24868389</v>
      </c>
      <c r="Q9" s="34">
        <v>777137.15625</v>
      </c>
      <c r="R9" s="34">
        <v>10582.71875</v>
      </c>
      <c r="S9" s="35">
        <v>19335336</v>
      </c>
      <c r="T9" s="35">
        <v>3702648</v>
      </c>
      <c r="U9" s="35">
        <v>1224568</v>
      </c>
      <c r="V9" s="35">
        <v>14408120</v>
      </c>
      <c r="W9" s="36">
        <v>71.947396874999995</v>
      </c>
      <c r="X9" s="36">
        <v>75.319828124999972</v>
      </c>
      <c r="Y9" s="36">
        <v>42.01755</v>
      </c>
      <c r="Z9" s="36">
        <v>49.411421875000002</v>
      </c>
      <c r="AA9" s="36">
        <v>49.523899999999998</v>
      </c>
      <c r="AB9" s="37">
        <v>3060.98</v>
      </c>
      <c r="AC9" s="37">
        <v>2035.64</v>
      </c>
      <c r="AD9" s="37">
        <v>12.58</v>
      </c>
      <c r="AE9" s="37">
        <v>10.544</v>
      </c>
      <c r="AG9" s="32">
        <f t="shared" si="7"/>
        <v>17.475555</v>
      </c>
      <c r="AH9" s="33">
        <f t="shared" si="8"/>
        <v>0.74668872693254751</v>
      </c>
      <c r="AI9" s="33">
        <f t="shared" si="9"/>
        <v>0.20995643345842777</v>
      </c>
      <c r="AJ9" s="33">
        <f t="shared" si="10"/>
        <v>0.15396553027376128</v>
      </c>
      <c r="AK9" s="33">
        <f t="shared" si="11"/>
        <v>0.53673229347411977</v>
      </c>
      <c r="AL9" s="30">
        <f t="shared" si="12"/>
        <v>5241424</v>
      </c>
      <c r="AM9" s="33">
        <f t="shared" si="13"/>
        <v>0.74956974494809459</v>
      </c>
      <c r="AN9" s="34">
        <v>24868389</v>
      </c>
      <c r="AO9" s="34">
        <v>777137.15625</v>
      </c>
      <c r="AP9" s="34">
        <v>10582.71875</v>
      </c>
      <c r="AQ9" s="35">
        <v>18640592</v>
      </c>
      <c r="AR9" s="35">
        <v>3843648</v>
      </c>
      <c r="AS9" s="35">
        <v>1397776</v>
      </c>
      <c r="AT9" s="35">
        <v>13399168</v>
      </c>
      <c r="AU9" s="36">
        <v>71.92674375</v>
      </c>
      <c r="AV9" s="36">
        <v>75.208418750000007</v>
      </c>
      <c r="AW9" s="36">
        <v>42.120487499999903</v>
      </c>
      <c r="AX9" s="36">
        <v>49.368490625</v>
      </c>
      <c r="AY9" s="36">
        <v>49.482834375000003</v>
      </c>
      <c r="AZ9" s="37">
        <v>3232.4</v>
      </c>
      <c r="BA9" s="37">
        <v>1880.16</v>
      </c>
      <c r="BB9" s="37">
        <v>7.774</v>
      </c>
      <c r="BC9" s="37">
        <v>26.547000000000001</v>
      </c>
      <c r="BE9" s="38">
        <f t="shared" si="14"/>
        <v>1.0637698854687923</v>
      </c>
      <c r="BF9" s="39">
        <f t="shared" si="15"/>
        <v>0</v>
      </c>
      <c r="BG9" s="39">
        <f t="shared" si="16"/>
        <v>2.6353741223634486E-2</v>
      </c>
      <c r="BH9" s="39"/>
      <c r="BJ9" s="38"/>
      <c r="BK9" s="38"/>
      <c r="BL9" s="38"/>
      <c r="BM9" s="38"/>
      <c r="BN9" s="38"/>
      <c r="BP9" s="38"/>
      <c r="BQ9" s="38"/>
      <c r="BR9" s="38"/>
      <c r="BS9" s="38"/>
      <c r="BT9" s="38"/>
      <c r="BV9">
        <f t="shared" si="17"/>
        <v>0</v>
      </c>
      <c r="BW9">
        <f t="shared" si="18"/>
        <v>0</v>
      </c>
      <c r="BX9">
        <f t="shared" si="19"/>
        <v>0</v>
      </c>
      <c r="BY9">
        <f t="shared" si="20"/>
        <v>-694744</v>
      </c>
      <c r="BZ9">
        <f t="shared" si="21"/>
        <v>141000</v>
      </c>
      <c r="CA9">
        <f t="shared" si="22"/>
        <v>173208</v>
      </c>
      <c r="CB9">
        <f t="shared" si="23"/>
        <v>-1008952</v>
      </c>
      <c r="CC9">
        <f t="shared" si="24"/>
        <v>-2.0653124999995498E-2</v>
      </c>
      <c r="CD9">
        <f t="shared" si="25"/>
        <v>-0.11140937499996539</v>
      </c>
      <c r="CE9">
        <f t="shared" si="26"/>
        <v>0.10293749999990354</v>
      </c>
      <c r="CF9">
        <f t="shared" si="27"/>
        <v>-4.2931250000002308E-2</v>
      </c>
      <c r="CG9">
        <f t="shared" si="28"/>
        <v>-4.1065624999994554E-2</v>
      </c>
      <c r="CJ9" t="s">
        <v>239</v>
      </c>
    </row>
    <row r="10" spans="1:88" x14ac:dyDescent="0.25">
      <c r="A10" s="20"/>
      <c r="B10" s="20" t="s">
        <v>59</v>
      </c>
      <c r="C10" s="21" t="s">
        <v>238</v>
      </c>
      <c r="D10" s="20">
        <v>22654789</v>
      </c>
      <c r="E10" s="21">
        <v>10</v>
      </c>
      <c r="F10" s="21">
        <v>32</v>
      </c>
      <c r="G10" s="21">
        <v>30</v>
      </c>
      <c r="I10" s="22">
        <f t="shared" si="0"/>
        <v>3.226035</v>
      </c>
      <c r="J10" s="23">
        <f t="shared" si="1"/>
        <v>0.15189300593353572</v>
      </c>
      <c r="K10" s="23">
        <f t="shared" si="2"/>
        <v>7.8811415988027961E-2</v>
      </c>
      <c r="L10" s="23">
        <f t="shared" si="3"/>
        <v>4.1214067365624107E-2</v>
      </c>
      <c r="M10" s="23">
        <f t="shared" si="4"/>
        <v>7.3081589945507772E-2</v>
      </c>
      <c r="N10" s="20">
        <f t="shared" si="5"/>
        <v>1785456</v>
      </c>
      <c r="O10" s="23">
        <f t="shared" si="6"/>
        <v>0.16650258037329224</v>
      </c>
      <c r="P10" s="24">
        <v>20666971</v>
      </c>
      <c r="Q10" s="24">
        <v>645842.84375</v>
      </c>
      <c r="R10" s="24">
        <v>17868.75</v>
      </c>
      <c r="S10" s="25">
        <v>3441104</v>
      </c>
      <c r="T10" s="25">
        <v>933696</v>
      </c>
      <c r="U10" s="25">
        <v>851760</v>
      </c>
      <c r="V10" s="25">
        <v>1655648</v>
      </c>
      <c r="W10" s="26">
        <v>65.905350000000013</v>
      </c>
      <c r="X10" s="26">
        <v>67.814121875000012</v>
      </c>
      <c r="Y10" s="26">
        <v>32.409384374999988</v>
      </c>
      <c r="Z10" s="26">
        <v>39.159018750000008</v>
      </c>
      <c r="AA10" s="26">
        <v>32.112993750000001</v>
      </c>
      <c r="AB10" s="27">
        <v>3060.99</v>
      </c>
      <c r="AC10" s="27">
        <v>1615.39</v>
      </c>
      <c r="AD10" s="27">
        <v>11.504</v>
      </c>
      <c r="AE10" s="27">
        <v>9.2040000000000006</v>
      </c>
      <c r="AG10" s="22">
        <f t="shared" si="7"/>
        <v>3.692625</v>
      </c>
      <c r="AH10" s="23">
        <f t="shared" si="8"/>
        <v>0.17386169431990736</v>
      </c>
      <c r="AI10" s="23">
        <f t="shared" si="9"/>
        <v>9.5245204005210554E-2</v>
      </c>
      <c r="AJ10" s="23">
        <f t="shared" si="10"/>
        <v>4.630296931920222E-2</v>
      </c>
      <c r="AK10" s="23">
        <f t="shared" si="11"/>
        <v>7.8616490314696821E-2</v>
      </c>
      <c r="AL10" s="20">
        <f t="shared" si="12"/>
        <v>2157760</v>
      </c>
      <c r="AM10" s="23">
        <f t="shared" si="13"/>
        <v>0.19058429026682236</v>
      </c>
      <c r="AN10" s="24">
        <v>20666971</v>
      </c>
      <c r="AO10" s="24">
        <v>645842.84375</v>
      </c>
      <c r="AP10" s="24">
        <v>17868.75</v>
      </c>
      <c r="AQ10" s="25">
        <v>3938800</v>
      </c>
      <c r="AR10" s="25">
        <v>1048984</v>
      </c>
      <c r="AS10" s="25">
        <v>1108776</v>
      </c>
      <c r="AT10" s="25">
        <v>1781040</v>
      </c>
      <c r="AU10" s="26">
        <v>65.818909375000004</v>
      </c>
      <c r="AV10" s="26">
        <v>67.253268750000004</v>
      </c>
      <c r="AW10" s="26">
        <v>32.338528124999897</v>
      </c>
      <c r="AX10" s="26">
        <v>39.067687499999998</v>
      </c>
      <c r="AY10" s="26">
        <v>32.006534375000001</v>
      </c>
      <c r="AZ10" s="27">
        <v>2938.76</v>
      </c>
      <c r="BA10" s="27">
        <v>1519.78</v>
      </c>
      <c r="BB10" s="27">
        <v>6.931</v>
      </c>
      <c r="BC10" s="27">
        <v>24.132000000000001</v>
      </c>
      <c r="BE10" s="28">
        <f t="shared" si="14"/>
        <v>1.2085204003907126</v>
      </c>
      <c r="BF10" s="29">
        <f t="shared" si="15"/>
        <v>0</v>
      </c>
      <c r="BG10" s="29">
        <f t="shared" si="16"/>
        <v>2.8960282904486268E-2</v>
      </c>
      <c r="BH10" s="29">
        <f t="array" ref="BH10">AVERAGE(AL10:AL14/AQ10:AQ14) - AVERAGE(N10:N14/S10:S14)</f>
        <v>2.7591954805759933E-2</v>
      </c>
      <c r="BJ10" s="28">
        <f>IF( OR(ISBLANK(N10:N14),ISBLANK(AL10:AL14), ISBLANK(W10:W14),ISBLANK(AU10:AU14)), "·", bdRateExtend( N10:N14,W10:W14, AL10:AL14,AU10:AU14))</f>
        <v>0.19765711259199459</v>
      </c>
      <c r="BK10" s="28">
        <f>IF( OR(ISBLANK(N10:N14),ISBLANK(AL10:AL14), ISBLANK(X10:X14),ISBLANK(AV10:AV14)), "·", bdRateExtend( N10:N14,X10:X14, AL10:AL14,AV10:AV14))</f>
        <v>0.21443752457127974</v>
      </c>
      <c r="BL10" s="28">
        <f>IF( OR(ISBLANK(V10:V14),ISBLANK(AT10:AT14), ISBLANK(Y10:Y14),ISBLANK(AW10:AW14)), "·", bdRateExtend( V10:V14,Y10:Y14, AT10:AT14,AW10:AW14))</f>
        <v>3.9890516125682618E-2</v>
      </c>
      <c r="BM10" s="28">
        <f>IF( OR(ISBLANK(V10:V14),ISBLANK(AT10:AT14), ISBLANK(Z10:Z14),ISBLANK(AX10:AX14)), "·", bdRateExtend( V10:V14,Z10:Z14, AT10:AT14,AX10:AX14))</f>
        <v>5.8833789582025675E-2</v>
      </c>
      <c r="BN10" s="28">
        <f>IF( OR(ISBLANK(V10:V14),ISBLANK(AT10:AT14), ISBLANK(AA10:AA14),ISBLANK(AY10:AY14)), "·", bdRateExtend( V10:V14,AA10:AA14, AT10:AT14,AY10:AY14))</f>
        <v>5.6563653735588915E-2</v>
      </c>
      <c r="BP10" s="28">
        <f>IF( OR(ISBLANK(S10:S14),ISBLANK(AQ10:AQ14), ISBLANK(W10:W14),ISBLANK(AU10:AU14)), "·", bdRateExtend( S10:S14,W10:W14, AQ10:AQ14,AU10:AU14))</f>
        <v>0.13000104355962505</v>
      </c>
      <c r="BQ10" s="28">
        <f>IF( OR(ISBLANK(S10:S14),ISBLANK(AQ10:AQ14), ISBLANK(X10:X14),ISBLANK(AV10:AV14)), "·", bdRateExtend( S10:S14,X10:X14, AQ10:AQ14,AV10:AV14))</f>
        <v>0.15592412988090665</v>
      </c>
      <c r="BR10" s="28">
        <f>IF( OR(ISBLANK(S10:S14),ISBLANK(AQ10:AQ14), ISBLANK(Y10:Y14),ISBLANK(AW10:AW14)), "·", bdRateExtend( S10:S14,Y10:Y14, AQ10:AQ14,AW10:AW14))</f>
        <v>8.3635583300052385E-2</v>
      </c>
      <c r="BS10" s="28">
        <f>IF( OR(ISBLANK(S10:S14),ISBLANK(AQ10:AQ14), ISBLANK(Z10:Z14),ISBLANK(AX10:AX14)), "·", bdRateExtend( S10:S14,Z10:Z14, AQ10:AQ14,AX10:AX14))</f>
        <v>9.8192172472942874E-2</v>
      </c>
      <c r="BT10" s="28">
        <f>IF( OR(ISBLANK(S10:S14),ISBLANK(AQ10:AQ14), ISBLANK(AA10:AA14),ISBLANK(AY10:AY14)), "·", bdRateExtend( S10:S14,AA10:AA14, AQ10:AQ14,AY10:AY14))</f>
        <v>9.8494239040376463E-2</v>
      </c>
      <c r="BV10">
        <f t="shared" si="17"/>
        <v>0</v>
      </c>
      <c r="BW10">
        <f t="shared" si="18"/>
        <v>0</v>
      </c>
      <c r="BX10">
        <f t="shared" si="19"/>
        <v>0</v>
      </c>
      <c r="BY10">
        <f t="shared" si="20"/>
        <v>497696</v>
      </c>
      <c r="BZ10">
        <f t="shared" si="21"/>
        <v>115288</v>
      </c>
      <c r="CA10">
        <f t="shared" si="22"/>
        <v>257016</v>
      </c>
      <c r="CB10">
        <f t="shared" si="23"/>
        <v>125392</v>
      </c>
      <c r="CC10">
        <f t="shared" si="24"/>
        <v>-8.6440625000008708E-2</v>
      </c>
      <c r="CD10">
        <f t="shared" si="25"/>
        <v>-0.56085312500000839</v>
      </c>
      <c r="CE10">
        <f t="shared" si="26"/>
        <v>-7.0856250000090881E-2</v>
      </c>
      <c r="CF10">
        <f t="shared" si="27"/>
        <v>-9.13312500000103E-2</v>
      </c>
      <c r="CG10">
        <f t="shared" si="28"/>
        <v>-0.10645937500000002</v>
      </c>
      <c r="CJ10" t="s">
        <v>244</v>
      </c>
    </row>
    <row r="11" spans="1:88" outlineLevel="1" x14ac:dyDescent="0.25">
      <c r="A11" s="10"/>
      <c r="B11" s="10" t="s">
        <v>59</v>
      </c>
      <c r="C11" s="11" t="s">
        <v>240</v>
      </c>
      <c r="D11" s="10">
        <v>22654789</v>
      </c>
      <c r="E11" s="11">
        <v>10</v>
      </c>
      <c r="F11" s="11">
        <v>32</v>
      </c>
      <c r="G11" s="11">
        <v>30</v>
      </c>
      <c r="I11" s="12">
        <f t="shared" si="0"/>
        <v>4.6770899999999997</v>
      </c>
      <c r="J11" s="13">
        <f t="shared" si="1"/>
        <v>0.22021374818366218</v>
      </c>
      <c r="K11" s="13">
        <f t="shared" si="2"/>
        <v>9.5659774187259045E-2</v>
      </c>
      <c r="L11" s="13">
        <f t="shared" si="3"/>
        <v>5.8062425564855184E-2</v>
      </c>
      <c r="M11" s="13">
        <f t="shared" si="4"/>
        <v>0.12455397399640314</v>
      </c>
      <c r="N11" s="10">
        <f t="shared" si="5"/>
        <v>2167152</v>
      </c>
      <c r="O11" s="13">
        <f t="shared" si="6"/>
        <v>0.22576577441695983</v>
      </c>
      <c r="P11" s="14">
        <v>22097663</v>
      </c>
      <c r="Q11" s="14">
        <v>690551.96875</v>
      </c>
      <c r="R11" s="14">
        <v>22579.96875</v>
      </c>
      <c r="S11" s="15">
        <v>4988896</v>
      </c>
      <c r="T11" s="15">
        <v>1315392</v>
      </c>
      <c r="U11" s="15">
        <v>851760</v>
      </c>
      <c r="V11" s="15">
        <v>2821744</v>
      </c>
      <c r="W11" s="16">
        <v>67.608481250000011</v>
      </c>
      <c r="X11" s="16">
        <v>69.690137499999992</v>
      </c>
      <c r="Y11" s="16">
        <v>34.283925000000004</v>
      </c>
      <c r="Z11" s="16">
        <v>40.018309374999973</v>
      </c>
      <c r="AA11" s="16">
        <v>33.888937499999997</v>
      </c>
      <c r="AB11" s="17">
        <v>2992.44</v>
      </c>
      <c r="AC11" s="17">
        <v>1707</v>
      </c>
      <c r="AD11" s="17">
        <v>10.875999999999999</v>
      </c>
      <c r="AE11" s="17">
        <v>9.2759999999999998</v>
      </c>
      <c r="AG11" s="12">
        <f t="shared" si="7"/>
        <v>5.2325774999999997</v>
      </c>
      <c r="AH11" s="13">
        <f t="shared" si="8"/>
        <v>0.24636804165335638</v>
      </c>
      <c r="AI11" s="13">
        <f t="shared" si="9"/>
        <v>0.11372747722346918</v>
      </c>
      <c r="AJ11" s="13">
        <f t="shared" si="10"/>
        <v>6.4785242537460846E-2</v>
      </c>
      <c r="AK11" s="13">
        <f t="shared" si="11"/>
        <v>0.1326405644298872</v>
      </c>
      <c r="AL11" s="10">
        <f t="shared" si="12"/>
        <v>2576472</v>
      </c>
      <c r="AM11" s="13">
        <f t="shared" si="13"/>
        <v>0.25257946960273581</v>
      </c>
      <c r="AN11" s="14">
        <v>22097663</v>
      </c>
      <c r="AO11" s="14">
        <v>690551.96875</v>
      </c>
      <c r="AP11" s="14">
        <v>22579.96875</v>
      </c>
      <c r="AQ11" s="15">
        <v>5581416</v>
      </c>
      <c r="AR11" s="15">
        <v>1467696</v>
      </c>
      <c r="AS11" s="15">
        <v>1108776</v>
      </c>
      <c r="AT11" s="15">
        <v>3004944</v>
      </c>
      <c r="AU11" s="16">
        <v>67.482828124999997</v>
      </c>
      <c r="AV11" s="16">
        <v>69.299934374999907</v>
      </c>
      <c r="AW11" s="16">
        <v>34.219812500000003</v>
      </c>
      <c r="AX11" s="16">
        <v>39.939099999999897</v>
      </c>
      <c r="AY11" s="16">
        <v>33.789965625000001</v>
      </c>
      <c r="AZ11" s="17">
        <v>2943.55</v>
      </c>
      <c r="BA11" s="17">
        <v>1576.88</v>
      </c>
      <c r="BB11" s="17">
        <v>7.18</v>
      </c>
      <c r="BC11" s="17">
        <v>24.882000000000001</v>
      </c>
      <c r="BE11" s="18">
        <f t="shared" si="14"/>
        <v>1.1888746151631264</v>
      </c>
      <c r="BF11" s="19">
        <f t="shared" si="15"/>
        <v>0</v>
      </c>
      <c r="BG11" s="19">
        <f t="shared" si="16"/>
        <v>2.7221087371686326E-2</v>
      </c>
      <c r="BH11" s="19"/>
      <c r="BJ11" s="18"/>
      <c r="BK11" s="18"/>
      <c r="BL11" s="18"/>
      <c r="BM11" s="18"/>
      <c r="BN11" s="18"/>
      <c r="BP11" s="18"/>
      <c r="BQ11" s="18"/>
      <c r="BR11" s="18"/>
      <c r="BS11" s="18"/>
      <c r="BT11" s="18"/>
      <c r="BV11">
        <f t="shared" si="17"/>
        <v>0</v>
      </c>
      <c r="BW11">
        <f t="shared" si="18"/>
        <v>0</v>
      </c>
      <c r="BX11">
        <f t="shared" si="19"/>
        <v>0</v>
      </c>
      <c r="BY11">
        <f t="shared" si="20"/>
        <v>592520</v>
      </c>
      <c r="BZ11">
        <f t="shared" si="21"/>
        <v>152304</v>
      </c>
      <c r="CA11">
        <f t="shared" si="22"/>
        <v>257016</v>
      </c>
      <c r="CB11">
        <f t="shared" si="23"/>
        <v>183200</v>
      </c>
      <c r="CC11">
        <f t="shared" si="24"/>
        <v>-0.12565312500001369</v>
      </c>
      <c r="CD11">
        <f t="shared" si="25"/>
        <v>-0.39020312500008458</v>
      </c>
      <c r="CE11">
        <f t="shared" si="26"/>
        <v>-6.4112500000000239E-2</v>
      </c>
      <c r="CF11">
        <f t="shared" si="27"/>
        <v>-7.9209375000075966E-2</v>
      </c>
      <c r="CG11">
        <f t="shared" si="28"/>
        <v>-9.8971874999996601E-2</v>
      </c>
      <c r="CJ11" t="s">
        <v>244</v>
      </c>
    </row>
    <row r="12" spans="1:88" outlineLevel="1" x14ac:dyDescent="0.25">
      <c r="A12" s="20"/>
      <c r="B12" s="20" t="s">
        <v>59</v>
      </c>
      <c r="C12" s="21" t="s">
        <v>241</v>
      </c>
      <c r="D12" s="20">
        <v>22654789</v>
      </c>
      <c r="E12" s="21">
        <v>10</v>
      </c>
      <c r="F12" s="21">
        <v>32</v>
      </c>
      <c r="G12" s="21">
        <v>30</v>
      </c>
      <c r="I12" s="22">
        <f t="shared" si="0"/>
        <v>7.3016325000000002</v>
      </c>
      <c r="J12" s="23">
        <f t="shared" si="1"/>
        <v>0.34378638441523335</v>
      </c>
      <c r="K12" s="23">
        <f t="shared" si="2"/>
        <v>0.12149731343779013</v>
      </c>
      <c r="L12" s="23">
        <f t="shared" si="3"/>
        <v>8.389996481538628E-2</v>
      </c>
      <c r="M12" s="23">
        <f t="shared" si="4"/>
        <v>0.22228907097744321</v>
      </c>
      <c r="N12" s="20">
        <f t="shared" si="5"/>
        <v>2752496</v>
      </c>
      <c r="O12" s="23">
        <f t="shared" si="6"/>
        <v>0.34598468667059423</v>
      </c>
      <c r="P12" s="24">
        <v>22510846</v>
      </c>
      <c r="Q12" s="24">
        <v>703463.9375</v>
      </c>
      <c r="R12" s="24">
        <v>24335.25</v>
      </c>
      <c r="S12" s="25">
        <v>7788408</v>
      </c>
      <c r="T12" s="25">
        <v>1900736</v>
      </c>
      <c r="U12" s="25">
        <v>851760</v>
      </c>
      <c r="V12" s="25">
        <v>5035912</v>
      </c>
      <c r="W12" s="26">
        <v>68.959699999999998</v>
      </c>
      <c r="X12" s="26">
        <v>71.322293749999986</v>
      </c>
      <c r="Y12" s="26">
        <v>36.388506250000013</v>
      </c>
      <c r="Z12" s="26">
        <v>40.930831249999997</v>
      </c>
      <c r="AA12" s="26">
        <v>35.648834375000007</v>
      </c>
      <c r="AB12" s="27">
        <v>2860.82</v>
      </c>
      <c r="AC12" s="27">
        <v>1771.83</v>
      </c>
      <c r="AD12" s="27">
        <v>12.304</v>
      </c>
      <c r="AE12" s="27">
        <v>9.4160000000000004</v>
      </c>
      <c r="AG12" s="22">
        <f t="shared" si="7"/>
        <v>7.9075049999999996</v>
      </c>
      <c r="AH12" s="23">
        <f t="shared" si="8"/>
        <v>0.37231297982956274</v>
      </c>
      <c r="AI12" s="23">
        <f t="shared" si="9"/>
        <v>0.14093867746903316</v>
      </c>
      <c r="AJ12" s="23">
        <f t="shared" si="10"/>
        <v>9.1996442783024823E-2</v>
      </c>
      <c r="AK12" s="23">
        <f t="shared" si="11"/>
        <v>0.23137430236052961</v>
      </c>
      <c r="AL12" s="20">
        <f t="shared" si="12"/>
        <v>3192936</v>
      </c>
      <c r="AM12" s="23">
        <f t="shared" si="13"/>
        <v>0.37469369209846665</v>
      </c>
      <c r="AN12" s="24">
        <v>22510846</v>
      </c>
      <c r="AO12" s="24">
        <v>703463.9375</v>
      </c>
      <c r="AP12" s="24">
        <v>24335.25</v>
      </c>
      <c r="AQ12" s="25">
        <v>8434672</v>
      </c>
      <c r="AR12" s="25">
        <v>2084160</v>
      </c>
      <c r="AS12" s="25">
        <v>1108776</v>
      </c>
      <c r="AT12" s="25">
        <v>5241736</v>
      </c>
      <c r="AU12" s="26">
        <v>68.918278125000001</v>
      </c>
      <c r="AV12" s="26">
        <v>71.140424999999993</v>
      </c>
      <c r="AW12" s="26">
        <v>36.336350000000003</v>
      </c>
      <c r="AX12" s="26">
        <v>40.883190624999997</v>
      </c>
      <c r="AY12" s="26">
        <v>35.566734374999903</v>
      </c>
      <c r="AZ12" s="27">
        <v>2934.12</v>
      </c>
      <c r="BA12" s="27">
        <v>1646.7</v>
      </c>
      <c r="BB12" s="27">
        <v>7.2960000000000003</v>
      </c>
      <c r="BC12" s="27">
        <v>25.972999999999999</v>
      </c>
      <c r="BE12" s="28">
        <f t="shared" si="14"/>
        <v>1.1600147647807664</v>
      </c>
      <c r="BF12" s="29">
        <f t="shared" si="15"/>
        <v>0</v>
      </c>
      <c r="BG12" s="29">
        <f t="shared" si="16"/>
        <v>2.5139599638085153E-2</v>
      </c>
      <c r="BH12" s="29"/>
      <c r="BJ12" s="28"/>
      <c r="BK12" s="28"/>
      <c r="BL12" s="28"/>
      <c r="BM12" s="28"/>
      <c r="BN12" s="28"/>
      <c r="BP12" s="28"/>
      <c r="BQ12" s="28"/>
      <c r="BR12" s="28"/>
      <c r="BS12" s="28"/>
      <c r="BT12" s="28"/>
      <c r="BV12">
        <f t="shared" si="17"/>
        <v>0</v>
      </c>
      <c r="BW12">
        <f t="shared" si="18"/>
        <v>0</v>
      </c>
      <c r="BX12">
        <f t="shared" si="19"/>
        <v>0</v>
      </c>
      <c r="BY12">
        <f t="shared" si="20"/>
        <v>646264</v>
      </c>
      <c r="BZ12">
        <f t="shared" si="21"/>
        <v>183424</v>
      </c>
      <c r="CA12">
        <f t="shared" si="22"/>
        <v>257016</v>
      </c>
      <c r="CB12">
        <f t="shared" si="23"/>
        <v>205824</v>
      </c>
      <c r="CC12">
        <f t="shared" si="24"/>
        <v>-4.1421874999997499E-2</v>
      </c>
      <c r="CD12">
        <f t="shared" si="25"/>
        <v>-0.18186874999999247</v>
      </c>
      <c r="CE12">
        <f t="shared" si="26"/>
        <v>-5.2156250000010118E-2</v>
      </c>
      <c r="CF12">
        <f t="shared" si="27"/>
        <v>-4.7640624999999659E-2</v>
      </c>
      <c r="CG12">
        <f t="shared" si="28"/>
        <v>-8.2100000000103535E-2</v>
      </c>
      <c r="CJ12" t="s">
        <v>244</v>
      </c>
    </row>
    <row r="13" spans="1:88" outlineLevel="1" x14ac:dyDescent="0.25">
      <c r="A13" s="10"/>
      <c r="B13" s="10" t="s">
        <v>59</v>
      </c>
      <c r="C13" s="11" t="s">
        <v>242</v>
      </c>
      <c r="D13" s="10">
        <v>22654789</v>
      </c>
      <c r="E13" s="11">
        <v>10</v>
      </c>
      <c r="F13" s="11">
        <v>32</v>
      </c>
      <c r="G13" s="11">
        <v>30</v>
      </c>
      <c r="I13" s="12">
        <f t="shared" si="0"/>
        <v>12.686114999999999</v>
      </c>
      <c r="J13" s="13">
        <f t="shared" si="1"/>
        <v>0.59730664452447557</v>
      </c>
      <c r="K13" s="13">
        <f t="shared" si="2"/>
        <v>0.1665703441334192</v>
      </c>
      <c r="L13" s="13">
        <f t="shared" si="3"/>
        <v>0.12897299551101535</v>
      </c>
      <c r="M13" s="13">
        <f t="shared" si="4"/>
        <v>0.43073630039105637</v>
      </c>
      <c r="N13" s="10">
        <f t="shared" si="5"/>
        <v>3773616</v>
      </c>
      <c r="O13" s="13">
        <f t="shared" si="6"/>
        <v>0.58097233529879411</v>
      </c>
      <c r="P13" s="14">
        <v>23291739</v>
      </c>
      <c r="Q13" s="14">
        <v>727866.84375</v>
      </c>
      <c r="R13" s="14">
        <v>27670.5</v>
      </c>
      <c r="S13" s="15">
        <v>13531856</v>
      </c>
      <c r="T13" s="15">
        <v>2921856</v>
      </c>
      <c r="U13" s="15">
        <v>851760</v>
      </c>
      <c r="V13" s="15">
        <v>9758240</v>
      </c>
      <c r="W13" s="16">
        <v>70.061584374999995</v>
      </c>
      <c r="X13" s="16">
        <v>72.575809375000006</v>
      </c>
      <c r="Y13" s="16">
        <v>38.706528124999998</v>
      </c>
      <c r="Z13" s="16">
        <v>42.110090624999998</v>
      </c>
      <c r="AA13" s="16">
        <v>37.681550000000001</v>
      </c>
      <c r="AB13" s="17">
        <v>3302.89</v>
      </c>
      <c r="AC13" s="17">
        <v>1762.06</v>
      </c>
      <c r="AD13" s="17">
        <v>12.256</v>
      </c>
      <c r="AE13" s="17">
        <v>11.8</v>
      </c>
      <c r="AG13" s="12">
        <f t="shared" si="7"/>
        <v>13.152329999999999</v>
      </c>
      <c r="AH13" s="13">
        <f t="shared" si="8"/>
        <v>0.61925767659985709</v>
      </c>
      <c r="AI13" s="13">
        <f t="shared" si="9"/>
        <v>0.19020826016079867</v>
      </c>
      <c r="AJ13" s="13">
        <f t="shared" si="10"/>
        <v>0.14126602547479034</v>
      </c>
      <c r="AK13" s="13">
        <f t="shared" si="11"/>
        <v>0.42904941643905842</v>
      </c>
      <c r="AL13" s="10">
        <f t="shared" si="12"/>
        <v>4309128</v>
      </c>
      <c r="AM13" s="13">
        <f t="shared" si="13"/>
        <v>0.60232308115765854</v>
      </c>
      <c r="AN13" s="14">
        <v>23291739</v>
      </c>
      <c r="AO13" s="14">
        <v>727866.84375</v>
      </c>
      <c r="AP13" s="14">
        <v>27670.5</v>
      </c>
      <c r="AQ13" s="15">
        <v>14029152</v>
      </c>
      <c r="AR13" s="15">
        <v>3200352</v>
      </c>
      <c r="AS13" s="15">
        <v>1108776</v>
      </c>
      <c r="AT13" s="15">
        <v>9720024</v>
      </c>
      <c r="AU13" s="16">
        <v>69.900003124999998</v>
      </c>
      <c r="AV13" s="16">
        <v>72.350143750000001</v>
      </c>
      <c r="AW13" s="16">
        <v>38.690731249999999</v>
      </c>
      <c r="AX13" s="16">
        <v>42.0614812499999</v>
      </c>
      <c r="AY13" s="16">
        <v>37.622453125</v>
      </c>
      <c r="AZ13" s="17">
        <v>2940.69</v>
      </c>
      <c r="BA13" s="17">
        <v>1769.77</v>
      </c>
      <c r="BB13" s="17">
        <v>7.3620000000000001</v>
      </c>
      <c r="BC13" s="17">
        <v>26.459</v>
      </c>
      <c r="BE13" s="18">
        <f t="shared" si="14"/>
        <v>1.1419095106656321</v>
      </c>
      <c r="BF13" s="19">
        <f t="shared" si="15"/>
        <v>0</v>
      </c>
      <c r="BG13" s="19">
        <f t="shared" si="16"/>
        <v>2.8286209356790326E-2</v>
      </c>
      <c r="BH13" s="19"/>
      <c r="BJ13" s="18"/>
      <c r="BK13" s="18"/>
      <c r="BL13" s="18"/>
      <c r="BM13" s="18"/>
      <c r="BN13" s="18"/>
      <c r="BP13" s="18"/>
      <c r="BQ13" s="18"/>
      <c r="BR13" s="18"/>
      <c r="BS13" s="18"/>
      <c r="BT13" s="18"/>
      <c r="BV13">
        <f t="shared" si="17"/>
        <v>0</v>
      </c>
      <c r="BW13">
        <f t="shared" si="18"/>
        <v>0</v>
      </c>
      <c r="BX13">
        <f t="shared" si="19"/>
        <v>0</v>
      </c>
      <c r="BY13">
        <f t="shared" si="20"/>
        <v>497296</v>
      </c>
      <c r="BZ13">
        <f t="shared" si="21"/>
        <v>278496</v>
      </c>
      <c r="CA13">
        <f t="shared" si="22"/>
        <v>257016</v>
      </c>
      <c r="CB13">
        <f t="shared" si="23"/>
        <v>-38216</v>
      </c>
      <c r="CC13">
        <f t="shared" si="24"/>
        <v>-0.16158124999999757</v>
      </c>
      <c r="CD13">
        <f t="shared" si="25"/>
        <v>-0.22566562500000487</v>
      </c>
      <c r="CE13">
        <f t="shared" si="26"/>
        <v>-1.5796874999999488E-2</v>
      </c>
      <c r="CF13">
        <f t="shared" si="27"/>
        <v>-4.8609375000097543E-2</v>
      </c>
      <c r="CG13">
        <f t="shared" si="28"/>
        <v>-5.9096875000001603E-2</v>
      </c>
      <c r="CJ13" t="s">
        <v>244</v>
      </c>
    </row>
    <row r="14" spans="1:88" ht="15.75" customHeight="1" outlineLevel="1" thickBot="1" x14ac:dyDescent="0.3">
      <c r="A14" s="20"/>
      <c r="B14" s="40" t="s">
        <v>59</v>
      </c>
      <c r="C14" s="41" t="s">
        <v>243</v>
      </c>
      <c r="D14" s="40">
        <v>22654789</v>
      </c>
      <c r="E14" s="41">
        <v>10</v>
      </c>
      <c r="F14" s="41">
        <v>32</v>
      </c>
      <c r="G14" s="41">
        <v>30</v>
      </c>
      <c r="I14" s="42">
        <f t="shared" si="0"/>
        <v>22.983907500000001</v>
      </c>
      <c r="J14" s="43">
        <f t="shared" si="1"/>
        <v>1.082162716236289</v>
      </c>
      <c r="K14" s="43">
        <f t="shared" si="2"/>
        <v>0.27324695012608591</v>
      </c>
      <c r="L14" s="43">
        <f t="shared" si="3"/>
        <v>0.20367508167919815</v>
      </c>
      <c r="M14" s="43">
        <f t="shared" si="4"/>
        <v>0.80891576611020299</v>
      </c>
      <c r="N14" s="40">
        <f t="shared" si="5"/>
        <v>6190352</v>
      </c>
      <c r="O14" s="43">
        <f t="shared" si="6"/>
        <v>1.1081226697310838</v>
      </c>
      <c r="P14" s="44">
        <v>22124056</v>
      </c>
      <c r="Q14" s="44">
        <v>691376.75</v>
      </c>
      <c r="R14" s="44">
        <v>13142.46875</v>
      </c>
      <c r="S14" s="45">
        <v>24516168</v>
      </c>
      <c r="T14" s="45">
        <v>4614216</v>
      </c>
      <c r="U14" s="45">
        <v>1576136</v>
      </c>
      <c r="V14" s="45">
        <v>18325816</v>
      </c>
      <c r="W14" s="46">
        <v>70.929762500000024</v>
      </c>
      <c r="X14" s="46">
        <v>74.680228124999985</v>
      </c>
      <c r="Y14" s="46">
        <v>40.952350000000003</v>
      </c>
      <c r="Z14" s="46">
        <v>43.421581250000003</v>
      </c>
      <c r="AA14" s="46">
        <v>39.439212499999996</v>
      </c>
      <c r="AB14" s="47">
        <v>3273.57</v>
      </c>
      <c r="AC14" s="47">
        <v>1991.14</v>
      </c>
      <c r="AD14" s="47">
        <v>12.132</v>
      </c>
      <c r="AE14" s="47">
        <v>12.423999999999999</v>
      </c>
      <c r="AG14" s="42">
        <f t="shared" si="7"/>
        <v>23.248597499999999</v>
      </c>
      <c r="AH14" s="43">
        <f t="shared" si="8"/>
        <v>1.0946252467855693</v>
      </c>
      <c r="AI14" s="43">
        <f t="shared" si="9"/>
        <v>0.3074292150767769</v>
      </c>
      <c r="AJ14" s="43">
        <f t="shared" si="10"/>
        <v>0.22288302927915152</v>
      </c>
      <c r="AK14" s="43">
        <f t="shared" si="11"/>
        <v>0.78719603170879238</v>
      </c>
      <c r="AL14" s="40">
        <f t="shared" si="12"/>
        <v>6964744</v>
      </c>
      <c r="AM14" s="43">
        <f t="shared" si="13"/>
        <v>1.1208841633740214</v>
      </c>
      <c r="AN14" s="44">
        <v>22124056</v>
      </c>
      <c r="AO14" s="44">
        <v>691376.75</v>
      </c>
      <c r="AP14" s="44">
        <v>13142.46875</v>
      </c>
      <c r="AQ14" s="45">
        <v>24798504</v>
      </c>
      <c r="AR14" s="45">
        <v>5049368</v>
      </c>
      <c r="AS14" s="45">
        <v>1915376</v>
      </c>
      <c r="AT14" s="45">
        <v>17833760</v>
      </c>
      <c r="AU14" s="46">
        <v>70.928812500000006</v>
      </c>
      <c r="AV14" s="46">
        <v>74.55581875</v>
      </c>
      <c r="AW14" s="46">
        <v>40.958606250000003</v>
      </c>
      <c r="AX14" s="46">
        <v>43.375321874999997</v>
      </c>
      <c r="AY14" s="46">
        <v>39.396653125</v>
      </c>
      <c r="AZ14" s="47">
        <v>2938.26</v>
      </c>
      <c r="BA14" s="47">
        <v>1976.3</v>
      </c>
      <c r="BB14" s="47">
        <v>7.0460000000000003</v>
      </c>
      <c r="BC14" s="47">
        <v>27.477</v>
      </c>
      <c r="BE14" s="48">
        <f t="shared" si="14"/>
        <v>1.1250966019379836</v>
      </c>
      <c r="BF14" s="49">
        <f t="shared" si="15"/>
        <v>0</v>
      </c>
      <c r="BG14" s="49">
        <f t="shared" si="16"/>
        <v>2.8352594757751648E-2</v>
      </c>
      <c r="BH14" s="49"/>
      <c r="BJ14" s="48"/>
      <c r="BK14" s="48"/>
      <c r="BL14" s="48"/>
      <c r="BM14" s="48"/>
      <c r="BN14" s="48"/>
      <c r="BP14" s="48"/>
      <c r="BQ14" s="48"/>
      <c r="BR14" s="48"/>
      <c r="BS14" s="48"/>
      <c r="BT14" s="48"/>
      <c r="BV14">
        <f t="shared" si="17"/>
        <v>0</v>
      </c>
      <c r="BW14">
        <f t="shared" si="18"/>
        <v>0</v>
      </c>
      <c r="BX14">
        <f t="shared" si="19"/>
        <v>0</v>
      </c>
      <c r="BY14">
        <f t="shared" si="20"/>
        <v>282336</v>
      </c>
      <c r="BZ14">
        <f t="shared" si="21"/>
        <v>435152</v>
      </c>
      <c r="CA14">
        <f t="shared" si="22"/>
        <v>339240</v>
      </c>
      <c r="CB14">
        <f t="shared" si="23"/>
        <v>-492056</v>
      </c>
      <c r="CC14">
        <f t="shared" si="24"/>
        <v>-9.5000000001732587E-4</v>
      </c>
      <c r="CD14">
        <f t="shared" si="25"/>
        <v>-0.12440937499998483</v>
      </c>
      <c r="CE14">
        <f t="shared" si="26"/>
        <v>6.2562499999998522E-3</v>
      </c>
      <c r="CF14">
        <f t="shared" si="27"/>
        <v>-4.6259375000005321E-2</v>
      </c>
      <c r="CG14">
        <f t="shared" si="28"/>
        <v>-4.255937499999618E-2</v>
      </c>
      <c r="CJ14" t="s">
        <v>244</v>
      </c>
    </row>
    <row r="15" spans="1:88" x14ac:dyDescent="0.25">
      <c r="A15" s="10"/>
      <c r="B15" s="10" t="s">
        <v>64</v>
      </c>
      <c r="C15" s="11" t="s">
        <v>238</v>
      </c>
      <c r="D15" s="10">
        <v>33947718</v>
      </c>
      <c r="E15" s="11">
        <v>10</v>
      </c>
      <c r="F15" s="11">
        <v>32</v>
      </c>
      <c r="G15" s="11">
        <v>30</v>
      </c>
      <c r="I15" s="12">
        <f t="shared" si="0"/>
        <v>4.4671200000000004</v>
      </c>
      <c r="J15" s="13">
        <f t="shared" si="1"/>
        <v>0.14036077476547909</v>
      </c>
      <c r="K15" s="13">
        <f t="shared" si="2"/>
        <v>7.9041306988587565E-2</v>
      </c>
      <c r="L15" s="13">
        <f t="shared" si="3"/>
        <v>4.1738534531245958E-2</v>
      </c>
      <c r="M15" s="13">
        <f t="shared" si="4"/>
        <v>6.1319467776891512E-2</v>
      </c>
      <c r="N15" s="10">
        <f t="shared" si="5"/>
        <v>2683272</v>
      </c>
      <c r="O15" s="13">
        <f t="shared" si="6"/>
        <v>0.15327799351217367</v>
      </c>
      <c r="P15" s="14">
        <v>31086837</v>
      </c>
      <c r="Q15" s="14">
        <v>971463.65625</v>
      </c>
      <c r="R15" s="14">
        <v>27534.65625</v>
      </c>
      <c r="S15" s="15">
        <v>4764928</v>
      </c>
      <c r="T15" s="15">
        <v>1416928</v>
      </c>
      <c r="U15" s="15">
        <v>1266344</v>
      </c>
      <c r="V15" s="15">
        <v>2081656</v>
      </c>
      <c r="W15" s="16">
        <v>65.923293750000013</v>
      </c>
      <c r="X15" s="16">
        <v>67.651821874999982</v>
      </c>
      <c r="Y15" s="16">
        <v>29.455387500000011</v>
      </c>
      <c r="Z15" s="16">
        <v>43.093790624999997</v>
      </c>
      <c r="AA15" s="16">
        <v>43.265300000000003</v>
      </c>
      <c r="AB15" s="17">
        <v>4678.04</v>
      </c>
      <c r="AC15" s="17">
        <v>1471.13</v>
      </c>
      <c r="AD15" s="17">
        <v>14.416</v>
      </c>
      <c r="AE15" s="17">
        <v>9.34</v>
      </c>
      <c r="AG15" s="12">
        <f t="shared" si="7"/>
        <v>5.1715949999999999</v>
      </c>
      <c r="AH15" s="13">
        <f t="shared" si="8"/>
        <v>0.16249598868471807</v>
      </c>
      <c r="AI15" s="13">
        <f t="shared" si="9"/>
        <v>9.7167297077229167E-2</v>
      </c>
      <c r="AJ15" s="13">
        <f t="shared" si="10"/>
        <v>4.8558433294396991E-2</v>
      </c>
      <c r="AK15" s="13">
        <f t="shared" si="11"/>
        <v>6.5328691607488901E-2</v>
      </c>
      <c r="AL15" s="10">
        <f t="shared" si="12"/>
        <v>3298608</v>
      </c>
      <c r="AM15" s="13">
        <f t="shared" si="13"/>
        <v>0.17745028225290338</v>
      </c>
      <c r="AN15" s="14">
        <v>31086837</v>
      </c>
      <c r="AO15" s="14">
        <v>971463.65625</v>
      </c>
      <c r="AP15" s="14">
        <v>27534.65625</v>
      </c>
      <c r="AQ15" s="15">
        <v>5516368</v>
      </c>
      <c r="AR15" s="15">
        <v>1648448</v>
      </c>
      <c r="AS15" s="15">
        <v>1650160</v>
      </c>
      <c r="AT15" s="15">
        <v>2217760</v>
      </c>
      <c r="AU15" s="16">
        <v>65.913250000000005</v>
      </c>
      <c r="AV15" s="16">
        <v>67.339543749999905</v>
      </c>
      <c r="AW15" s="16">
        <v>29.3860843749999</v>
      </c>
      <c r="AX15" s="16">
        <v>42.967762499999999</v>
      </c>
      <c r="AY15" s="16">
        <v>43.169750000000001</v>
      </c>
      <c r="AZ15" s="17">
        <v>4201.55</v>
      </c>
      <c r="BA15" s="17">
        <v>2058.5</v>
      </c>
      <c r="BB15" s="17">
        <v>9.9049999999999994</v>
      </c>
      <c r="BC15" s="17">
        <v>32.546999999999997</v>
      </c>
      <c r="BE15" s="18">
        <f t="shared" si="14"/>
        <v>1.2293230056438558</v>
      </c>
      <c r="BF15" s="19">
        <f t="shared" si="15"/>
        <v>0</v>
      </c>
      <c r="BG15" s="19">
        <f t="shared" si="16"/>
        <v>3.4837757953433579E-2</v>
      </c>
      <c r="BH15" s="19">
        <f t="array" ref="BH15">AVERAGE(AL15:AL19/AQ15:AQ19) - AVERAGE(N15:N19/S15:S19)</f>
        <v>3.6664290665465227E-2</v>
      </c>
      <c r="BJ15" s="18">
        <f>IF( OR(ISBLANK(N15:N19),ISBLANK(AL15:AL19), ISBLANK(W15:W19),ISBLANK(AU15:AU19)), "·", bdRateExtend( N15:N19,W15:W19, AL15:AL19,AU15:AU19))</f>
        <v>0.21219580184717812</v>
      </c>
      <c r="BK15" s="18">
        <f>IF( OR(ISBLANK(N15:N19),ISBLANK(AL15:AL19), ISBLANK(X15:X19),ISBLANK(AV15:AV19)), "·", bdRateExtend( N15:N19,X15:X19, AL15:AL19,AV15:AV19))</f>
        <v>0.23134443373897962</v>
      </c>
      <c r="BL15" s="18">
        <f>IF( OR(ISBLANK(V15:V19),ISBLANK(AT15:AT19), ISBLANK(Y15:Y19),ISBLANK(AW15:AW19)), "·", bdRateExtend( V15:V19,Y15:Y19, AT15:AT19,AW15:AW19))</f>
        <v>9.8561689435938682E-4</v>
      </c>
      <c r="BM15" s="18">
        <f>IF( OR(ISBLANK(V15:V19),ISBLANK(AT15:AT19), ISBLANK(Z15:Z19),ISBLANK(AX15:AX19)), "·", bdRateExtend( V15:V19,Z15:Z19, AT15:AT19,AX15:AX19))</f>
        <v>-4.0064157439775316E-3</v>
      </c>
      <c r="BN15" s="18">
        <f>IF( OR(ISBLANK(V15:V19),ISBLANK(AT15:AT19), ISBLANK(AA15:AA19),ISBLANK(AY15:AY19)), "·", bdRateExtend( V15:V19,AA15:AA19, AT15:AT19,AY15:AY19))</f>
        <v>-3.5260734710796382E-2</v>
      </c>
      <c r="BP15" s="18">
        <f>IF( OR(ISBLANK(S15:S19),ISBLANK(AQ15:AQ19), ISBLANK(W15:W19),ISBLANK(AU15:AU19)), "·", bdRateExtend( S15:S19,W15:W19, AQ15:AQ19,AU15:AU19))</f>
        <v>0.10684565551344138</v>
      </c>
      <c r="BQ15" s="18">
        <f>IF( OR(ISBLANK(S15:S19),ISBLANK(AQ15:AQ19), ISBLANK(X15:X19),ISBLANK(AV15:AV19)), "·", bdRateExtend( S15:S19,X15:X19, AQ15:AQ19,AV15:AV19))</f>
        <v>0.13348450202780837</v>
      </c>
      <c r="BR15" s="18">
        <f>IF( OR(ISBLANK(S15:S19),ISBLANK(AQ15:AQ19), ISBLANK(Y15:Y19),ISBLANK(AW15:AW19)), "·", bdRateExtend( S15:S19,Y15:Y19, AQ15:AQ19,AW15:AW19))</f>
        <v>5.8423329300688831E-2</v>
      </c>
      <c r="BS15" s="18">
        <f>IF( OR(ISBLANK(S15:S19),ISBLANK(AQ15:AQ19), ISBLANK(Z15:Z19),ISBLANK(AX15:AX19)), "·", bdRateExtend( S15:S19,Z15:Z19, AQ15:AQ19,AX15:AX19))</f>
        <v>4.8972399668266053E-2</v>
      </c>
      <c r="BT15" s="18">
        <f>IF( OR(ISBLANK(S15:S19),ISBLANK(AQ15:AQ19), ISBLANK(AA15:AA19),ISBLANK(AY15:AY19)), "·", bdRateExtend( S15:S19,AA15:AA19, AQ15:AQ19,AY15:AY19))</f>
        <v>2.4853741040547606E-2</v>
      </c>
      <c r="BV15">
        <f t="shared" si="17"/>
        <v>0</v>
      </c>
      <c r="BW15">
        <f t="shared" si="18"/>
        <v>0</v>
      </c>
      <c r="BX15">
        <f t="shared" si="19"/>
        <v>0</v>
      </c>
      <c r="BY15">
        <f t="shared" si="20"/>
        <v>751440</v>
      </c>
      <c r="BZ15">
        <f t="shared" si="21"/>
        <v>231520</v>
      </c>
      <c r="CA15">
        <f t="shared" si="22"/>
        <v>383816</v>
      </c>
      <c r="CB15">
        <f t="shared" si="23"/>
        <v>136104</v>
      </c>
      <c r="CC15">
        <f t="shared" si="24"/>
        <v>-1.0043750000008345E-2</v>
      </c>
      <c r="CD15">
        <f t="shared" si="25"/>
        <v>-0.31227812500007701</v>
      </c>
      <c r="CE15">
        <f t="shared" si="26"/>
        <v>-6.9303125000111265E-2</v>
      </c>
      <c r="CF15">
        <f t="shared" si="27"/>
        <v>-0.12602812499999771</v>
      </c>
      <c r="CG15">
        <f t="shared" si="28"/>
        <v>-9.555000000000291E-2</v>
      </c>
      <c r="CJ15" t="s">
        <v>239</v>
      </c>
    </row>
    <row r="16" spans="1:88" outlineLevel="1" x14ac:dyDescent="0.25">
      <c r="A16" s="20"/>
      <c r="B16" s="20" t="s">
        <v>64</v>
      </c>
      <c r="C16" s="21" t="s">
        <v>240</v>
      </c>
      <c r="D16" s="20">
        <v>33947718</v>
      </c>
      <c r="E16" s="21">
        <v>10</v>
      </c>
      <c r="F16" s="21">
        <v>32</v>
      </c>
      <c r="G16" s="21">
        <v>30</v>
      </c>
      <c r="I16" s="22">
        <f t="shared" si="0"/>
        <v>7.1478450000000002</v>
      </c>
      <c r="J16" s="23">
        <f t="shared" si="1"/>
        <v>0.22459147327664264</v>
      </c>
      <c r="K16" s="23">
        <f t="shared" si="2"/>
        <v>9.6197099316071843E-2</v>
      </c>
      <c r="L16" s="23">
        <f t="shared" si="3"/>
        <v>5.8894326858730237E-2</v>
      </c>
      <c r="M16" s="23">
        <f t="shared" si="4"/>
        <v>0.12839437396057077</v>
      </c>
      <c r="N16" s="20">
        <f t="shared" si="5"/>
        <v>3265672</v>
      </c>
      <c r="O16" s="23">
        <f t="shared" si="6"/>
        <v>0.22975017501634451</v>
      </c>
      <c r="P16" s="24">
        <v>33185472</v>
      </c>
      <c r="Q16" s="24">
        <v>1037046</v>
      </c>
      <c r="R16" s="24">
        <v>34248.84375</v>
      </c>
      <c r="S16" s="25">
        <v>7624368</v>
      </c>
      <c r="T16" s="25">
        <v>1999328</v>
      </c>
      <c r="U16" s="25">
        <v>1266344</v>
      </c>
      <c r="V16" s="25">
        <v>4358696</v>
      </c>
      <c r="W16" s="26">
        <v>67.712431249999995</v>
      </c>
      <c r="X16" s="26">
        <v>69.726390625000022</v>
      </c>
      <c r="Y16" s="26">
        <v>31.85769375000001</v>
      </c>
      <c r="Z16" s="26">
        <v>43.946984374999992</v>
      </c>
      <c r="AA16" s="26">
        <v>44.189534375000001</v>
      </c>
      <c r="AB16" s="27">
        <v>4720.6400000000003</v>
      </c>
      <c r="AC16" s="27">
        <v>1569.77</v>
      </c>
      <c r="AD16" s="27">
        <v>14.324</v>
      </c>
      <c r="AE16" s="27">
        <v>10.276</v>
      </c>
      <c r="AG16" s="22">
        <f t="shared" si="7"/>
        <v>7.9712699999999996</v>
      </c>
      <c r="AH16" s="23">
        <f t="shared" si="8"/>
        <v>0.25046419909579781</v>
      </c>
      <c r="AI16" s="23">
        <f t="shared" si="9"/>
        <v>0.11627055462166853</v>
      </c>
      <c r="AJ16" s="23">
        <f t="shared" si="10"/>
        <v>6.7661690838836358E-2</v>
      </c>
      <c r="AK16" s="23">
        <f t="shared" si="11"/>
        <v>0.13419364447412932</v>
      </c>
      <c r="AL16" s="20">
        <f t="shared" si="12"/>
        <v>3947120</v>
      </c>
      <c r="AM16" s="23">
        <f t="shared" si="13"/>
        <v>0.25621717840867231</v>
      </c>
      <c r="AN16" s="24">
        <v>33185472</v>
      </c>
      <c r="AO16" s="24">
        <v>1037046</v>
      </c>
      <c r="AP16" s="24">
        <v>34248.84375</v>
      </c>
      <c r="AQ16" s="25">
        <v>8502688</v>
      </c>
      <c r="AR16" s="25">
        <v>2296960</v>
      </c>
      <c r="AS16" s="25">
        <v>1650160</v>
      </c>
      <c r="AT16" s="25">
        <v>4555568</v>
      </c>
      <c r="AU16" s="26">
        <v>67.660815624999998</v>
      </c>
      <c r="AV16" s="26">
        <v>69.510915624999996</v>
      </c>
      <c r="AW16" s="26">
        <v>31.797178124999999</v>
      </c>
      <c r="AX16" s="26">
        <v>43.919962499999997</v>
      </c>
      <c r="AY16" s="26">
        <v>44.244106249999902</v>
      </c>
      <c r="AZ16" s="27">
        <v>4222.97</v>
      </c>
      <c r="BA16" s="27">
        <v>2173.21</v>
      </c>
      <c r="BB16" s="27">
        <v>10.914</v>
      </c>
      <c r="BC16" s="27">
        <v>35.387</v>
      </c>
      <c r="BE16" s="28">
        <f t="shared" si="14"/>
        <v>1.2086700685188225</v>
      </c>
      <c r="BF16" s="29">
        <f t="shared" si="15"/>
        <v>0</v>
      </c>
      <c r="BG16" s="29">
        <f t="shared" si="16"/>
        <v>3.5899902097465852E-2</v>
      </c>
      <c r="BH16" s="29"/>
      <c r="BJ16" s="28"/>
      <c r="BK16" s="28"/>
      <c r="BL16" s="28"/>
      <c r="BM16" s="28"/>
      <c r="BN16" s="28"/>
      <c r="BP16" s="28"/>
      <c r="BQ16" s="28"/>
      <c r="BR16" s="28"/>
      <c r="BS16" s="28"/>
      <c r="BT16" s="28"/>
      <c r="BV16">
        <f t="shared" si="17"/>
        <v>0</v>
      </c>
      <c r="BW16">
        <f t="shared" si="18"/>
        <v>0</v>
      </c>
      <c r="BX16">
        <f t="shared" si="19"/>
        <v>0</v>
      </c>
      <c r="BY16">
        <f t="shared" si="20"/>
        <v>878320</v>
      </c>
      <c r="BZ16">
        <f t="shared" si="21"/>
        <v>297632</v>
      </c>
      <c r="CA16">
        <f t="shared" si="22"/>
        <v>383816</v>
      </c>
      <c r="CB16">
        <f t="shared" si="23"/>
        <v>196872</v>
      </c>
      <c r="CC16">
        <f t="shared" si="24"/>
        <v>-5.1615624999996612E-2</v>
      </c>
      <c r="CD16">
        <f t="shared" si="25"/>
        <v>-0.21547500000002628</v>
      </c>
      <c r="CE16">
        <f t="shared" si="26"/>
        <v>-6.0515625000011397E-2</v>
      </c>
      <c r="CF16">
        <f t="shared" si="27"/>
        <v>-2.7021874999995532E-2</v>
      </c>
      <c r="CG16">
        <f t="shared" si="28"/>
        <v>5.4571874999901127E-2</v>
      </c>
      <c r="CJ16" t="s">
        <v>239</v>
      </c>
    </row>
    <row r="17" spans="1:88" outlineLevel="1" x14ac:dyDescent="0.25">
      <c r="A17" s="10"/>
      <c r="B17" s="10" t="s">
        <v>64</v>
      </c>
      <c r="C17" s="11" t="s">
        <v>241</v>
      </c>
      <c r="D17" s="10">
        <v>33947718</v>
      </c>
      <c r="E17" s="11">
        <v>10</v>
      </c>
      <c r="F17" s="11">
        <v>32</v>
      </c>
      <c r="G17" s="11">
        <v>30</v>
      </c>
      <c r="I17" s="12">
        <f t="shared" si="0"/>
        <v>12.173752500000001</v>
      </c>
      <c r="J17" s="13">
        <f t="shared" si="1"/>
        <v>0.38250983468167138</v>
      </c>
      <c r="K17" s="13">
        <f t="shared" si="2"/>
        <v>0.12241788976802506</v>
      </c>
      <c r="L17" s="13">
        <f t="shared" si="3"/>
        <v>8.5115117310683441E-2</v>
      </c>
      <c r="M17" s="13">
        <f t="shared" si="4"/>
        <v>0.26009194491364634</v>
      </c>
      <c r="N17" s="10">
        <f t="shared" si="5"/>
        <v>4155808</v>
      </c>
      <c r="O17" s="13">
        <f t="shared" si="6"/>
        <v>0.38641836345865394</v>
      </c>
      <c r="P17" s="14">
        <v>33604345</v>
      </c>
      <c r="Q17" s="14">
        <v>1050135.78125</v>
      </c>
      <c r="R17" s="14">
        <v>36065.3125</v>
      </c>
      <c r="S17" s="15">
        <v>12985336</v>
      </c>
      <c r="T17" s="15">
        <v>2889464</v>
      </c>
      <c r="U17" s="15">
        <v>1266344</v>
      </c>
      <c r="V17" s="15">
        <v>8829528</v>
      </c>
      <c r="W17" s="16">
        <v>69.134887499999991</v>
      </c>
      <c r="X17" s="16">
        <v>71.577937500000019</v>
      </c>
      <c r="Y17" s="16">
        <v>34.386512499999988</v>
      </c>
      <c r="Z17" s="16">
        <v>44.755790625000003</v>
      </c>
      <c r="AA17" s="16">
        <v>45.138921875000008</v>
      </c>
      <c r="AB17" s="17">
        <v>4739.17</v>
      </c>
      <c r="AC17" s="17">
        <v>1719.74</v>
      </c>
      <c r="AD17" s="17">
        <v>16.356000000000002</v>
      </c>
      <c r="AE17" s="17">
        <v>9.8239999999999998</v>
      </c>
      <c r="AG17" s="12">
        <f t="shared" si="7"/>
        <v>12.9641775</v>
      </c>
      <c r="AH17" s="13">
        <f t="shared" si="8"/>
        <v>0.40734567195356108</v>
      </c>
      <c r="AI17" s="13">
        <f t="shared" si="9"/>
        <v>0.14437494738232479</v>
      </c>
      <c r="AJ17" s="13">
        <f t="shared" si="10"/>
        <v>9.576608359949261E-2</v>
      </c>
      <c r="AK17" s="13">
        <f t="shared" si="11"/>
        <v>0.26297072457123627</v>
      </c>
      <c r="AL17" s="10">
        <f t="shared" si="12"/>
        <v>4901200</v>
      </c>
      <c r="AM17" s="13">
        <f t="shared" si="13"/>
        <v>0.41150797612630152</v>
      </c>
      <c r="AN17" s="14">
        <v>33604345</v>
      </c>
      <c r="AO17" s="14">
        <v>1050135.78125</v>
      </c>
      <c r="AP17" s="14">
        <v>36065.3125</v>
      </c>
      <c r="AQ17" s="15">
        <v>13828456</v>
      </c>
      <c r="AR17" s="15">
        <v>3251040</v>
      </c>
      <c r="AS17" s="15">
        <v>1650160</v>
      </c>
      <c r="AT17" s="15">
        <v>8927256</v>
      </c>
      <c r="AU17" s="16">
        <v>69.132999999999996</v>
      </c>
      <c r="AV17" s="16">
        <v>71.384615624999995</v>
      </c>
      <c r="AW17" s="16">
        <v>34.361237499999902</v>
      </c>
      <c r="AX17" s="16">
        <v>44.74096875</v>
      </c>
      <c r="AY17" s="16">
        <v>45.228612499999997</v>
      </c>
      <c r="AZ17" s="17">
        <v>4190.67</v>
      </c>
      <c r="BA17" s="17">
        <v>2289.64</v>
      </c>
      <c r="BB17" s="17">
        <v>11.034000000000001</v>
      </c>
      <c r="BC17" s="17">
        <v>35.427999999999997</v>
      </c>
      <c r="BE17" s="18">
        <f t="shared" si="14"/>
        <v>1.1793615104451409</v>
      </c>
      <c r="BF17" s="19">
        <f t="shared" si="15"/>
        <v>0</v>
      </c>
      <c r="BG17" s="19">
        <f t="shared" si="16"/>
        <v>3.4390036351289621E-2</v>
      </c>
      <c r="BH17" s="19"/>
      <c r="BJ17" s="18"/>
      <c r="BK17" s="18"/>
      <c r="BL17" s="18"/>
      <c r="BM17" s="18"/>
      <c r="BN17" s="18"/>
      <c r="BP17" s="18"/>
      <c r="BQ17" s="18"/>
      <c r="BR17" s="18"/>
      <c r="BS17" s="18"/>
      <c r="BT17" s="18"/>
      <c r="BV17">
        <f t="shared" si="17"/>
        <v>0</v>
      </c>
      <c r="BW17">
        <f t="shared" si="18"/>
        <v>0</v>
      </c>
      <c r="BX17">
        <f t="shared" si="19"/>
        <v>0</v>
      </c>
      <c r="BY17">
        <f t="shared" si="20"/>
        <v>843120</v>
      </c>
      <c r="BZ17">
        <f t="shared" si="21"/>
        <v>361576</v>
      </c>
      <c r="CA17">
        <f t="shared" si="22"/>
        <v>383816</v>
      </c>
      <c r="CB17">
        <f t="shared" si="23"/>
        <v>97728</v>
      </c>
      <c r="CC17">
        <f t="shared" si="24"/>
        <v>-1.8874999999951569E-3</v>
      </c>
      <c r="CD17">
        <f t="shared" si="25"/>
        <v>-0.19332187500002362</v>
      </c>
      <c r="CE17">
        <f t="shared" si="26"/>
        <v>-2.5275000000085868E-2</v>
      </c>
      <c r="CF17">
        <f t="shared" si="27"/>
        <v>-1.4821875000002649E-2</v>
      </c>
      <c r="CG17">
        <f t="shared" si="28"/>
        <v>8.96906249999887E-2</v>
      </c>
      <c r="CJ17" t="s">
        <v>239</v>
      </c>
    </row>
    <row r="18" spans="1:88" outlineLevel="1" x14ac:dyDescent="0.25">
      <c r="A18" s="20"/>
      <c r="B18" s="20" t="s">
        <v>64</v>
      </c>
      <c r="C18" s="21" t="s">
        <v>242</v>
      </c>
      <c r="D18" s="20">
        <v>33947718</v>
      </c>
      <c r="E18" s="21">
        <v>10</v>
      </c>
      <c r="F18" s="21">
        <v>32</v>
      </c>
      <c r="G18" s="21">
        <v>30</v>
      </c>
      <c r="I18" s="22">
        <f t="shared" si="0"/>
        <v>22.0723275</v>
      </c>
      <c r="J18" s="23">
        <f t="shared" si="1"/>
        <v>0.69353162412860858</v>
      </c>
      <c r="K18" s="23">
        <f t="shared" si="2"/>
        <v>0.16520768789230544</v>
      </c>
      <c r="L18" s="23">
        <f t="shared" si="3"/>
        <v>0.12790491543496385</v>
      </c>
      <c r="M18" s="23">
        <f t="shared" si="4"/>
        <v>0.52832393623630314</v>
      </c>
      <c r="N18" s="20">
        <f t="shared" si="5"/>
        <v>5608424</v>
      </c>
      <c r="O18" s="23">
        <f t="shared" si="6"/>
        <v>0.67655775162676568</v>
      </c>
      <c r="P18" s="24">
        <v>34799418</v>
      </c>
      <c r="Q18" s="24">
        <v>1087481.8125</v>
      </c>
      <c r="R18" s="24">
        <v>40309.5</v>
      </c>
      <c r="S18" s="25">
        <v>23543816</v>
      </c>
      <c r="T18" s="25">
        <v>4342080</v>
      </c>
      <c r="U18" s="25">
        <v>1266344</v>
      </c>
      <c r="V18" s="25">
        <v>17935392</v>
      </c>
      <c r="W18" s="26">
        <v>70.357356249999995</v>
      </c>
      <c r="X18" s="26">
        <v>72.928971875000002</v>
      </c>
      <c r="Y18" s="26">
        <v>37.045281250000009</v>
      </c>
      <c r="Z18" s="26">
        <v>46.093209375000008</v>
      </c>
      <c r="AA18" s="26">
        <v>46.595912499999983</v>
      </c>
      <c r="AB18" s="27">
        <v>4679.18</v>
      </c>
      <c r="AC18" s="27">
        <v>1954.98</v>
      </c>
      <c r="AD18" s="27">
        <v>15.252000000000001</v>
      </c>
      <c r="AE18" s="27">
        <v>11.596</v>
      </c>
      <c r="AG18" s="22">
        <f t="shared" si="7"/>
        <v>22.21686</v>
      </c>
      <c r="AH18" s="23">
        <f t="shared" si="8"/>
        <v>0.69807296030914356</v>
      </c>
      <c r="AI18" s="23">
        <f t="shared" si="9"/>
        <v>0.1928134315243222</v>
      </c>
      <c r="AJ18" s="23">
        <f t="shared" si="10"/>
        <v>0.14420456774149001</v>
      </c>
      <c r="AK18" s="23">
        <f t="shared" si="11"/>
        <v>0.50525952878482139</v>
      </c>
      <c r="AL18" s="20">
        <f t="shared" si="12"/>
        <v>6545576</v>
      </c>
      <c r="AM18" s="23">
        <f t="shared" si="13"/>
        <v>0.68098794066038693</v>
      </c>
      <c r="AN18" s="24">
        <v>34799418</v>
      </c>
      <c r="AO18" s="24">
        <v>1087481.8125</v>
      </c>
      <c r="AP18" s="24">
        <v>40309.5</v>
      </c>
      <c r="AQ18" s="25">
        <v>23697984</v>
      </c>
      <c r="AR18" s="25">
        <v>4895416</v>
      </c>
      <c r="AS18" s="25">
        <v>1650160</v>
      </c>
      <c r="AT18" s="25">
        <v>17152408</v>
      </c>
      <c r="AU18" s="26">
        <v>70.170346874999893</v>
      </c>
      <c r="AV18" s="26">
        <v>72.658449999999903</v>
      </c>
      <c r="AW18" s="26">
        <v>37.092224999999999</v>
      </c>
      <c r="AX18" s="26">
        <v>46.103250000000003</v>
      </c>
      <c r="AY18" s="26">
        <v>46.647443749999901</v>
      </c>
      <c r="AZ18" s="27">
        <v>4191.76</v>
      </c>
      <c r="BA18" s="27">
        <v>2516.69</v>
      </c>
      <c r="BB18" s="27">
        <v>11.257999999999999</v>
      </c>
      <c r="BC18" s="27">
        <v>36.673999999999999</v>
      </c>
      <c r="BE18" s="28">
        <f t="shared" si="14"/>
        <v>1.1670972094834486</v>
      </c>
      <c r="BF18" s="29">
        <f t="shared" si="15"/>
        <v>0</v>
      </c>
      <c r="BG18" s="29">
        <f t="shared" si="16"/>
        <v>3.7995945262589093E-2</v>
      </c>
      <c r="BH18" s="29"/>
      <c r="BJ18" s="28"/>
      <c r="BK18" s="28"/>
      <c r="BL18" s="28"/>
      <c r="BM18" s="28"/>
      <c r="BN18" s="28"/>
      <c r="BP18" s="28"/>
      <c r="BQ18" s="28"/>
      <c r="BR18" s="28"/>
      <c r="BS18" s="28"/>
      <c r="BT18" s="28"/>
      <c r="BV18">
        <f t="shared" si="17"/>
        <v>0</v>
      </c>
      <c r="BW18">
        <f t="shared" si="18"/>
        <v>0</v>
      </c>
      <c r="BX18">
        <f t="shared" si="19"/>
        <v>0</v>
      </c>
      <c r="BY18">
        <f t="shared" si="20"/>
        <v>154168</v>
      </c>
      <c r="BZ18">
        <f t="shared" si="21"/>
        <v>553336</v>
      </c>
      <c r="CA18">
        <f t="shared" si="22"/>
        <v>383816</v>
      </c>
      <c r="CB18">
        <f t="shared" si="23"/>
        <v>-782984</v>
      </c>
      <c r="CC18">
        <f t="shared" si="24"/>
        <v>-0.18700937500010184</v>
      </c>
      <c r="CD18">
        <f t="shared" si="25"/>
        <v>-0.2705218750000995</v>
      </c>
      <c r="CE18">
        <f t="shared" si="26"/>
        <v>4.6943749999989848E-2</v>
      </c>
      <c r="CF18">
        <f t="shared" si="27"/>
        <v>1.0040624999994918E-2</v>
      </c>
      <c r="CG18">
        <f t="shared" si="28"/>
        <v>5.1531249999918316E-2</v>
      </c>
      <c r="CJ18" t="s">
        <v>239</v>
      </c>
    </row>
    <row r="19" spans="1:88" ht="15.75" customHeight="1" outlineLevel="1" thickBot="1" x14ac:dyDescent="0.3">
      <c r="A19" s="10"/>
      <c r="B19" s="30" t="s">
        <v>64</v>
      </c>
      <c r="C19" s="31" t="s">
        <v>243</v>
      </c>
      <c r="D19" s="30">
        <v>33947718</v>
      </c>
      <c r="E19" s="31">
        <v>10</v>
      </c>
      <c r="F19" s="31">
        <v>32</v>
      </c>
      <c r="G19" s="31">
        <v>30</v>
      </c>
      <c r="I19" s="32">
        <f t="shared" si="0"/>
        <v>39.884729999999998</v>
      </c>
      <c r="J19" s="33">
        <f t="shared" si="1"/>
        <v>1.2532127196296377</v>
      </c>
      <c r="K19" s="33">
        <f t="shared" si="2"/>
        <v>0.26469714400243338</v>
      </c>
      <c r="L19" s="33">
        <f t="shared" si="3"/>
        <v>0.19620829889066477</v>
      </c>
      <c r="M19" s="33">
        <f t="shared" si="4"/>
        <v>0.98851557562720416</v>
      </c>
      <c r="N19" s="30">
        <f t="shared" si="5"/>
        <v>8985864</v>
      </c>
      <c r="O19" s="33">
        <f t="shared" si="6"/>
        <v>1.2876804191890621</v>
      </c>
      <c r="P19" s="34">
        <v>33039030</v>
      </c>
      <c r="Q19" s="34">
        <v>1032469.6875</v>
      </c>
      <c r="R19" s="34">
        <v>17598.03125</v>
      </c>
      <c r="S19" s="35">
        <v>42543712</v>
      </c>
      <c r="T19" s="35">
        <v>6660824</v>
      </c>
      <c r="U19" s="35">
        <v>2325040</v>
      </c>
      <c r="V19" s="35">
        <v>33557848</v>
      </c>
      <c r="W19" s="36">
        <v>71.152059375000022</v>
      </c>
      <c r="X19" s="36">
        <v>75.005793749999995</v>
      </c>
      <c r="Y19" s="36">
        <v>39.265149999999998</v>
      </c>
      <c r="Z19" s="36">
        <v>47.847890624999991</v>
      </c>
      <c r="AA19" s="36">
        <v>48.431809375</v>
      </c>
      <c r="AB19" s="37">
        <v>4712.49</v>
      </c>
      <c r="AC19" s="37">
        <v>2332.5100000000002</v>
      </c>
      <c r="AD19" s="37">
        <v>14.46</v>
      </c>
      <c r="AE19" s="37">
        <v>13.336</v>
      </c>
      <c r="AG19" s="32">
        <f t="shared" si="7"/>
        <v>38.780355</v>
      </c>
      <c r="AH19" s="33">
        <f t="shared" si="8"/>
        <v>1.2185123017694444</v>
      </c>
      <c r="AI19" s="33">
        <f t="shared" si="9"/>
        <v>0.30634942825906591</v>
      </c>
      <c r="AJ19" s="33">
        <f t="shared" si="10"/>
        <v>0.22248281902188535</v>
      </c>
      <c r="AK19" s="33">
        <f t="shared" si="11"/>
        <v>0.9121628735103785</v>
      </c>
      <c r="AL19" s="30">
        <f t="shared" si="12"/>
        <v>10399864</v>
      </c>
      <c r="AM19" s="33">
        <f t="shared" si="13"/>
        <v>1.2520256193962112</v>
      </c>
      <c r="AN19" s="34">
        <v>33039030</v>
      </c>
      <c r="AO19" s="34">
        <v>1032469.6875</v>
      </c>
      <c r="AP19" s="34">
        <v>17598.03125</v>
      </c>
      <c r="AQ19" s="35">
        <v>41365712</v>
      </c>
      <c r="AR19" s="35">
        <v>7552784</v>
      </c>
      <c r="AS19" s="35">
        <v>2847080</v>
      </c>
      <c r="AT19" s="35">
        <v>30965848</v>
      </c>
      <c r="AU19" s="36">
        <v>71.187528125</v>
      </c>
      <c r="AV19" s="36">
        <v>74.877906249999995</v>
      </c>
      <c r="AW19" s="36">
        <v>39.6007156249999</v>
      </c>
      <c r="AX19" s="36">
        <v>47.850843750000003</v>
      </c>
      <c r="AY19" s="36">
        <v>48.449343749999997</v>
      </c>
      <c r="AZ19" s="37">
        <v>4211.3900000000003</v>
      </c>
      <c r="BA19" s="37">
        <v>2902.26</v>
      </c>
      <c r="BB19" s="37">
        <v>10.436</v>
      </c>
      <c r="BC19" s="37">
        <v>38.412999999999997</v>
      </c>
      <c r="BE19" s="38">
        <f t="shared" si="14"/>
        <v>1.1573582684981656</v>
      </c>
      <c r="BF19" s="39">
        <f t="shared" si="15"/>
        <v>0</v>
      </c>
      <c r="BG19" s="39">
        <f t="shared" si="16"/>
        <v>4.0197811662547572E-2</v>
      </c>
      <c r="BH19" s="39"/>
      <c r="BJ19" s="38"/>
      <c r="BK19" s="38"/>
      <c r="BL19" s="38"/>
      <c r="BM19" s="38"/>
      <c r="BN19" s="38"/>
      <c r="BP19" s="38"/>
      <c r="BQ19" s="38"/>
      <c r="BR19" s="38"/>
      <c r="BS19" s="38"/>
      <c r="BT19" s="38"/>
      <c r="BV19">
        <f t="shared" si="17"/>
        <v>0</v>
      </c>
      <c r="BW19">
        <f t="shared" si="18"/>
        <v>0</v>
      </c>
      <c r="BX19">
        <f t="shared" si="19"/>
        <v>0</v>
      </c>
      <c r="BY19">
        <f t="shared" si="20"/>
        <v>-1178000</v>
      </c>
      <c r="BZ19">
        <f t="shared" si="21"/>
        <v>891960</v>
      </c>
      <c r="CA19">
        <f t="shared" si="22"/>
        <v>522040</v>
      </c>
      <c r="CB19">
        <f t="shared" si="23"/>
        <v>-2592000</v>
      </c>
      <c r="CC19">
        <f t="shared" si="24"/>
        <v>3.54687499999784E-2</v>
      </c>
      <c r="CD19">
        <f t="shared" si="25"/>
        <v>-0.12788749999999993</v>
      </c>
      <c r="CE19">
        <f t="shared" si="26"/>
        <v>0.3355656249999015</v>
      </c>
      <c r="CF19">
        <f t="shared" si="27"/>
        <v>2.9531250000118803E-3</v>
      </c>
      <c r="CG19">
        <f t="shared" si="28"/>
        <v>1.7534374999996771E-2</v>
      </c>
      <c r="CJ19" t="s">
        <v>239</v>
      </c>
    </row>
    <row r="20" spans="1:88" x14ac:dyDescent="0.25">
      <c r="A20" s="20"/>
      <c r="B20" s="20" t="s">
        <v>70</v>
      </c>
      <c r="C20" s="21" t="s">
        <v>238</v>
      </c>
      <c r="D20" s="20">
        <v>32209643</v>
      </c>
      <c r="E20" s="21">
        <v>10</v>
      </c>
      <c r="F20" s="21">
        <v>32</v>
      </c>
      <c r="G20" s="21">
        <v>50</v>
      </c>
      <c r="I20" s="22">
        <f t="shared" si="0"/>
        <v>5.3908624999999999</v>
      </c>
      <c r="J20" s="23">
        <f t="shared" si="1"/>
        <v>0.10711549954155034</v>
      </c>
      <c r="K20" s="23">
        <f t="shared" si="2"/>
        <v>5.9954964418574896E-2</v>
      </c>
      <c r="L20" s="23">
        <f t="shared" si="3"/>
        <v>2.9437395502955436E-2</v>
      </c>
      <c r="M20" s="23">
        <f t="shared" si="4"/>
        <v>4.7160535122975439E-2</v>
      </c>
      <c r="N20" s="20">
        <f t="shared" si="5"/>
        <v>1931128</v>
      </c>
      <c r="O20" s="23">
        <f t="shared" si="6"/>
        <v>0.11396219105880812</v>
      </c>
      <c r="P20" s="24">
        <v>30274532</v>
      </c>
      <c r="Q20" s="24">
        <v>946079.125</v>
      </c>
      <c r="R20" s="24">
        <v>27546.40625</v>
      </c>
      <c r="S20" s="25">
        <v>3450152</v>
      </c>
      <c r="T20" s="25">
        <v>948168</v>
      </c>
      <c r="U20" s="25">
        <v>982960</v>
      </c>
      <c r="V20" s="25">
        <v>1519024</v>
      </c>
      <c r="W20" s="26">
        <v>67.101124999999996</v>
      </c>
      <c r="X20" s="26">
        <v>68.807974999999985</v>
      </c>
      <c r="Y20" s="26">
        <v>30.805875</v>
      </c>
      <c r="Z20" s="26">
        <v>39.522212500000002</v>
      </c>
      <c r="AA20" s="26">
        <v>38.285593749999997</v>
      </c>
      <c r="AB20" s="27">
        <v>4338.34</v>
      </c>
      <c r="AC20" s="27">
        <v>1614.39</v>
      </c>
      <c r="AD20" s="27">
        <v>14.3</v>
      </c>
      <c r="AE20" s="27">
        <v>10.26</v>
      </c>
      <c r="AG20" s="22">
        <f t="shared" si="7"/>
        <v>7.0394625</v>
      </c>
      <c r="AH20" s="23">
        <f t="shared" si="8"/>
        <v>0.1398728945862579</v>
      </c>
      <c r="AI20" s="23">
        <f t="shared" si="9"/>
        <v>8.4822548328151295E-2</v>
      </c>
      <c r="AJ20" s="23">
        <f t="shared" si="10"/>
        <v>3.8261833575740034E-2</v>
      </c>
      <c r="AK20" s="23">
        <f t="shared" si="11"/>
        <v>5.5050346258106619E-2</v>
      </c>
      <c r="AL20" s="20">
        <f t="shared" si="12"/>
        <v>2732104</v>
      </c>
      <c r="AM20" s="23">
        <f t="shared" si="13"/>
        <v>0.14881339866789683</v>
      </c>
      <c r="AN20" s="24">
        <v>30274532</v>
      </c>
      <c r="AO20" s="24">
        <v>946079.125</v>
      </c>
      <c r="AP20" s="24">
        <v>27546.40625</v>
      </c>
      <c r="AQ20" s="25">
        <v>4505256</v>
      </c>
      <c r="AR20" s="25">
        <v>1232400</v>
      </c>
      <c r="AS20" s="25">
        <v>1499704</v>
      </c>
      <c r="AT20" s="25">
        <v>1773152</v>
      </c>
      <c r="AU20" s="26">
        <v>66.630603124999993</v>
      </c>
      <c r="AV20" s="26">
        <v>68.180653124999907</v>
      </c>
      <c r="AW20" s="26">
        <v>30.901859374999901</v>
      </c>
      <c r="AX20" s="26">
        <v>39.32155625</v>
      </c>
      <c r="AY20" s="26">
        <v>38.199340624999998</v>
      </c>
      <c r="AZ20" s="27">
        <v>3630.5</v>
      </c>
      <c r="BA20" s="27">
        <v>1910.46</v>
      </c>
      <c r="BB20" s="27">
        <v>9.4019999999999992</v>
      </c>
      <c r="BC20" s="27">
        <v>30.602</v>
      </c>
      <c r="BE20" s="28">
        <f t="shared" si="14"/>
        <v>1.4147710560874267</v>
      </c>
      <c r="BF20" s="29">
        <f t="shared" si="15"/>
        <v>0</v>
      </c>
      <c r="BG20" s="29">
        <f t="shared" si="16"/>
        <v>4.6703330616121086E-2</v>
      </c>
      <c r="BH20" s="29">
        <f t="array" ref="BH20">AVERAGE(AL20:AL24/AQ20:AQ24) - AVERAGE(N20:N24/S20:S24)</f>
        <v>4.7067229410201861E-2</v>
      </c>
      <c r="BJ20" s="28">
        <f>IF( OR(ISBLANK(N20:N24),ISBLANK(AL20:AL24), ISBLANK(W20:W24),ISBLANK(AU20:AU24)), "·", bdRateExtend( N20:N24,W20:W24, AL20:AL24,AU20:AU24))</f>
        <v>0.41030921123152431</v>
      </c>
      <c r="BK20" s="28">
        <f>IF( OR(ISBLANK(N20:N24),ISBLANK(AL20:AL24), ISBLANK(X20:X24),ISBLANK(AV20:AV24)), "·", bdRateExtend( N20:N24,X20:X24, AL20:AL24,AV20:AV24))</f>
        <v>0.40510394026324414</v>
      </c>
      <c r="BL20" s="28">
        <f>IF( OR(ISBLANK(V20:V24),ISBLANK(AT20:AT24), ISBLANK(Y20:Y24),ISBLANK(AW20:AW24)), "·", bdRateExtend( V20:V24,Y20:Y24, AT20:AT24,AW20:AW24))</f>
        <v>0.13702655672514386</v>
      </c>
      <c r="BM20" s="28">
        <f>IF( OR(ISBLANK(V20:V24),ISBLANK(AT20:AT24), ISBLANK(Z20:Z24),ISBLANK(AX20:AX24)), "·", bdRateExtend( V20:V24,Z20:Z24, AT20:AT24,AX20:AX24))</f>
        <v>0.10142894092865617</v>
      </c>
      <c r="BN20" s="28">
        <f>IF( OR(ISBLANK(V20:V24),ISBLANK(AT20:AT24), ISBLANK(AA20:AA24),ISBLANK(AY20:AY24)), "·", bdRateExtend( V20:V24,AA20:AA24, AT20:AT24,AY20:AY24))</f>
        <v>8.8195653402308061E-2</v>
      </c>
      <c r="BP20" s="28">
        <f>IF( OR(ISBLANK(S20:S24),ISBLANK(AQ20:AQ24), ISBLANK(W20:W24),ISBLANK(AU20:AU24)), "·", bdRateExtend( S20:S24,W20:W24, AQ20:AQ24,AU20:AU24))</f>
        <v>0.28772688194333562</v>
      </c>
      <c r="BQ20" s="28">
        <f>IF( OR(ISBLANK(S20:S24),ISBLANK(AQ20:AQ24), ISBLANK(X20:X24),ISBLANK(AV20:AV24)), "·", bdRateExtend( S20:S24,X20:X24, AQ20:AQ24,AV20:AV24))</f>
        <v>0.278013962313989</v>
      </c>
      <c r="BR20" s="28">
        <f>IF( OR(ISBLANK(S20:S24),ISBLANK(AQ20:AQ24), ISBLANK(Y20:Y24),ISBLANK(AW20:AW24)), "·", bdRateExtend( S20:S24,Y20:Y24, AQ20:AQ24,AW20:AW24))</f>
        <v>0.23084082796261729</v>
      </c>
      <c r="BS20" s="28">
        <f>IF( OR(ISBLANK(S20:S24),ISBLANK(AQ20:AQ24), ISBLANK(Z20:Z24),ISBLANK(AX20:AX24)), "·", bdRateExtend( S20:S24,Z20:Z24, AQ20:AQ24,AX20:AX24))</f>
        <v>0.18504571334594688</v>
      </c>
      <c r="BT20" s="28">
        <f>IF( OR(ISBLANK(S20:S24),ISBLANK(AQ20:AQ24), ISBLANK(AA20:AA24),ISBLANK(AY20:AY24)), "·", bdRateExtend( S20:S24,AA20:AA24, AQ20:AQ24,AY20:AY24))</f>
        <v>0.18026347705872525</v>
      </c>
      <c r="BV20">
        <f t="shared" si="17"/>
        <v>0</v>
      </c>
      <c r="BW20">
        <f t="shared" si="18"/>
        <v>0</v>
      </c>
      <c r="BX20">
        <f t="shared" si="19"/>
        <v>0</v>
      </c>
      <c r="BY20">
        <f t="shared" si="20"/>
        <v>1055104</v>
      </c>
      <c r="BZ20">
        <f t="shared" si="21"/>
        <v>284232</v>
      </c>
      <c r="CA20">
        <f t="shared" si="22"/>
        <v>516744</v>
      </c>
      <c r="CB20">
        <f t="shared" si="23"/>
        <v>254128</v>
      </c>
      <c r="CC20">
        <f t="shared" si="24"/>
        <v>-0.47052187500000286</v>
      </c>
      <c r="CD20">
        <f t="shared" si="25"/>
        <v>-0.62732187500007797</v>
      </c>
      <c r="CE20">
        <f t="shared" si="26"/>
        <v>9.5984374999900979E-2</v>
      </c>
      <c r="CF20">
        <f t="shared" si="27"/>
        <v>-0.20065625000000153</v>
      </c>
      <c r="CG20">
        <f t="shared" si="28"/>
        <v>-8.6253124999998931E-2</v>
      </c>
      <c r="CJ20" t="s">
        <v>245</v>
      </c>
    </row>
    <row r="21" spans="1:88" outlineLevel="1" x14ac:dyDescent="0.25">
      <c r="A21" s="10"/>
      <c r="B21" s="10" t="s">
        <v>70</v>
      </c>
      <c r="C21" s="11" t="s">
        <v>240</v>
      </c>
      <c r="D21" s="10">
        <v>32209643</v>
      </c>
      <c r="E21" s="11">
        <v>10</v>
      </c>
      <c r="F21" s="11">
        <v>32</v>
      </c>
      <c r="G21" s="11">
        <v>50</v>
      </c>
      <c r="I21" s="12">
        <f t="shared" si="0"/>
        <v>8.4891874999999999</v>
      </c>
      <c r="J21" s="13">
        <f t="shared" si="1"/>
        <v>0.16867867799714514</v>
      </c>
      <c r="K21" s="13">
        <f t="shared" si="2"/>
        <v>7.1184893294222479E-2</v>
      </c>
      <c r="L21" s="13">
        <f t="shared" si="3"/>
        <v>4.0667324378603015E-2</v>
      </c>
      <c r="M21" s="13">
        <f t="shared" si="4"/>
        <v>9.7493784702922665E-2</v>
      </c>
      <c r="N21" s="10">
        <f t="shared" si="5"/>
        <v>2292840</v>
      </c>
      <c r="O21" s="13">
        <f t="shared" si="6"/>
        <v>0.17244870765991088</v>
      </c>
      <c r="P21" s="14">
        <v>31505484</v>
      </c>
      <c r="Q21" s="14">
        <v>984546.375</v>
      </c>
      <c r="R21" s="14">
        <v>32684.5625</v>
      </c>
      <c r="S21" s="15">
        <v>5433080</v>
      </c>
      <c r="T21" s="15">
        <v>1309880</v>
      </c>
      <c r="U21" s="15">
        <v>982960</v>
      </c>
      <c r="V21" s="15">
        <v>3140240</v>
      </c>
      <c r="W21" s="16">
        <v>68.677109374999986</v>
      </c>
      <c r="X21" s="16">
        <v>70.750809375000003</v>
      </c>
      <c r="Y21" s="16">
        <v>32.750965625000013</v>
      </c>
      <c r="Z21" s="16">
        <v>40.667706250000002</v>
      </c>
      <c r="AA21" s="16">
        <v>39.654318750000009</v>
      </c>
      <c r="AB21" s="17">
        <v>4332.8100000000004</v>
      </c>
      <c r="AC21" s="17">
        <v>1731.7</v>
      </c>
      <c r="AD21" s="17">
        <v>13.907999999999999</v>
      </c>
      <c r="AE21" s="17">
        <v>11.272</v>
      </c>
      <c r="AG21" s="12">
        <f t="shared" si="7"/>
        <v>10.1856375</v>
      </c>
      <c r="AH21" s="13">
        <f t="shared" si="8"/>
        <v>0.2023868442130824</v>
      </c>
      <c r="AI21" s="13">
        <f t="shared" si="9"/>
        <v>9.8458961497958852E-2</v>
      </c>
      <c r="AJ21" s="13">
        <f t="shared" si="10"/>
        <v>5.1898246745547598E-2</v>
      </c>
      <c r="AK21" s="13">
        <f t="shared" si="11"/>
        <v>0.10392788271512354</v>
      </c>
      <c r="AL21" s="10">
        <f t="shared" si="12"/>
        <v>3171328</v>
      </c>
      <c r="AM21" s="13">
        <f t="shared" si="13"/>
        <v>0.20691026362267598</v>
      </c>
      <c r="AN21" s="14">
        <v>31505484</v>
      </c>
      <c r="AO21" s="14">
        <v>984546.375</v>
      </c>
      <c r="AP21" s="14">
        <v>32684.5625</v>
      </c>
      <c r="AQ21" s="15">
        <v>6518808</v>
      </c>
      <c r="AR21" s="15">
        <v>1671624</v>
      </c>
      <c r="AS21" s="15">
        <v>1499704</v>
      </c>
      <c r="AT21" s="15">
        <v>3347480</v>
      </c>
      <c r="AU21" s="16">
        <v>68.362987500000003</v>
      </c>
      <c r="AV21" s="16">
        <v>70.336878124999899</v>
      </c>
      <c r="AW21" s="16">
        <v>32.686128125000003</v>
      </c>
      <c r="AX21" s="16">
        <v>40.545784374999997</v>
      </c>
      <c r="AY21" s="16">
        <v>39.527578124999998</v>
      </c>
      <c r="AZ21" s="17">
        <v>3633.95</v>
      </c>
      <c r="BA21" s="17">
        <v>2015.01</v>
      </c>
      <c r="BB21" s="17">
        <v>9.5589999999999993</v>
      </c>
      <c r="BC21" s="17">
        <v>31.071999999999999</v>
      </c>
      <c r="BE21" s="18">
        <f t="shared" si="14"/>
        <v>1.3831440484290225</v>
      </c>
      <c r="BF21" s="19">
        <f t="shared" si="15"/>
        <v>0</v>
      </c>
      <c r="BG21" s="19">
        <f t="shared" si="16"/>
        <v>6.4474172136176233E-2</v>
      </c>
      <c r="BH21" s="19"/>
      <c r="BJ21" s="18"/>
      <c r="BK21" s="18"/>
      <c r="BL21" s="18"/>
      <c r="BM21" s="18"/>
      <c r="BN21" s="18"/>
      <c r="BP21" s="18"/>
      <c r="BQ21" s="18"/>
      <c r="BR21" s="18"/>
      <c r="BS21" s="18"/>
      <c r="BT21" s="18"/>
      <c r="BV21">
        <f t="shared" si="17"/>
        <v>0</v>
      </c>
      <c r="BW21">
        <f t="shared" si="18"/>
        <v>0</v>
      </c>
      <c r="BX21">
        <f t="shared" si="19"/>
        <v>0</v>
      </c>
      <c r="BY21">
        <f t="shared" si="20"/>
        <v>1085728</v>
      </c>
      <c r="BZ21">
        <f t="shared" si="21"/>
        <v>361744</v>
      </c>
      <c r="CA21">
        <f t="shared" si="22"/>
        <v>516744</v>
      </c>
      <c r="CB21">
        <f t="shared" si="23"/>
        <v>207240</v>
      </c>
      <c r="CC21">
        <f t="shared" si="24"/>
        <v>-0.31412187499998367</v>
      </c>
      <c r="CD21">
        <f t="shared" si="25"/>
        <v>-0.413931250000104</v>
      </c>
      <c r="CE21">
        <f t="shared" si="26"/>
        <v>-6.4837500000010095E-2</v>
      </c>
      <c r="CF21">
        <f t="shared" si="27"/>
        <v>-0.12192187500000529</v>
      </c>
      <c r="CG21">
        <f t="shared" si="28"/>
        <v>-0.12674062500001071</v>
      </c>
      <c r="CJ21" t="s">
        <v>245</v>
      </c>
    </row>
    <row r="22" spans="1:88" outlineLevel="1" x14ac:dyDescent="0.25">
      <c r="A22" s="20"/>
      <c r="B22" s="20" t="s">
        <v>70</v>
      </c>
      <c r="C22" s="21" t="s">
        <v>241</v>
      </c>
      <c r="D22" s="20">
        <v>32209643</v>
      </c>
      <c r="E22" s="21">
        <v>10</v>
      </c>
      <c r="F22" s="21">
        <v>32</v>
      </c>
      <c r="G22" s="21">
        <v>50</v>
      </c>
      <c r="I22" s="22">
        <f t="shared" si="0"/>
        <v>14.060700000000001</v>
      </c>
      <c r="J22" s="23">
        <f t="shared" si="1"/>
        <v>0.27938366159475908</v>
      </c>
      <c r="K22" s="23">
        <f t="shared" si="2"/>
        <v>8.8652208905264804E-2</v>
      </c>
      <c r="L22" s="23">
        <f t="shared" si="3"/>
        <v>5.813463998964534E-2</v>
      </c>
      <c r="M22" s="23">
        <f t="shared" si="4"/>
        <v>0.19073145268949426</v>
      </c>
      <c r="N22" s="20">
        <f t="shared" si="5"/>
        <v>2855456</v>
      </c>
      <c r="O22" s="23">
        <f t="shared" si="6"/>
        <v>0.27489359492298177</v>
      </c>
      <c r="P22" s="24">
        <v>32735750</v>
      </c>
      <c r="Q22" s="24">
        <v>1022992.1875</v>
      </c>
      <c r="R22" s="24">
        <v>34698.875</v>
      </c>
      <c r="S22" s="25">
        <v>8998848</v>
      </c>
      <c r="T22" s="25">
        <v>1872496</v>
      </c>
      <c r="U22" s="25">
        <v>982960</v>
      </c>
      <c r="V22" s="25">
        <v>6143392</v>
      </c>
      <c r="W22" s="26">
        <v>69.850906250000023</v>
      </c>
      <c r="X22" s="26">
        <v>72.246865625000012</v>
      </c>
      <c r="Y22" s="26">
        <v>34.56800937500001</v>
      </c>
      <c r="Z22" s="26">
        <v>41.680409375000004</v>
      </c>
      <c r="AA22" s="26">
        <v>40.669278125000012</v>
      </c>
      <c r="AB22" s="27">
        <v>4364.22</v>
      </c>
      <c r="AC22" s="27">
        <v>1826.77</v>
      </c>
      <c r="AD22" s="27">
        <v>12.507999999999999</v>
      </c>
      <c r="AE22" s="27">
        <v>10.628</v>
      </c>
      <c r="AG22" s="22">
        <f t="shared" si="7"/>
        <v>16.001999999999999</v>
      </c>
      <c r="AH22" s="23">
        <f t="shared" si="8"/>
        <v>0.31795695469210883</v>
      </c>
      <c r="AI22" s="23">
        <f t="shared" si="9"/>
        <v>0.1181017746766085</v>
      </c>
      <c r="AJ22" s="23">
        <f t="shared" si="10"/>
        <v>7.1541059924197237E-2</v>
      </c>
      <c r="AK22" s="23">
        <f t="shared" si="11"/>
        <v>0.19985518001550032</v>
      </c>
      <c r="AL22" s="20">
        <f t="shared" si="12"/>
        <v>3804016</v>
      </c>
      <c r="AM22" s="23">
        <f t="shared" si="13"/>
        <v>0.31284696394614453</v>
      </c>
      <c r="AN22" s="24">
        <v>32735750</v>
      </c>
      <c r="AO22" s="24">
        <v>1022992.1875</v>
      </c>
      <c r="AP22" s="24">
        <v>34698.875</v>
      </c>
      <c r="AQ22" s="25">
        <v>10241280</v>
      </c>
      <c r="AR22" s="25">
        <v>2304312</v>
      </c>
      <c r="AS22" s="25">
        <v>1499704</v>
      </c>
      <c r="AT22" s="25">
        <v>6437264</v>
      </c>
      <c r="AU22" s="26">
        <v>69.689703124999994</v>
      </c>
      <c r="AV22" s="26">
        <v>72.043343749999906</v>
      </c>
      <c r="AW22" s="26">
        <v>34.446759374999999</v>
      </c>
      <c r="AX22" s="26">
        <v>41.684728124999999</v>
      </c>
      <c r="AY22" s="26">
        <v>40.672199999999897</v>
      </c>
      <c r="AZ22" s="27">
        <v>3604.46</v>
      </c>
      <c r="BA22" s="27">
        <v>2089.9499999999998</v>
      </c>
      <c r="BB22" s="27">
        <v>9.6590000000000007</v>
      </c>
      <c r="BC22" s="27">
        <v>30.94</v>
      </c>
      <c r="BE22" s="28">
        <f t="shared" si="14"/>
        <v>1.332192126231327</v>
      </c>
      <c r="BF22" s="29">
        <f t="shared" si="15"/>
        <v>0</v>
      </c>
      <c r="BG22" s="29">
        <f t="shared" si="16"/>
        <v>5.4126002544023666E-2</v>
      </c>
      <c r="BH22" s="29"/>
      <c r="BJ22" s="28"/>
      <c r="BK22" s="28"/>
      <c r="BL22" s="28"/>
      <c r="BM22" s="28"/>
      <c r="BN22" s="28"/>
      <c r="BP22" s="28"/>
      <c r="BQ22" s="28"/>
      <c r="BR22" s="28"/>
      <c r="BS22" s="28"/>
      <c r="BT22" s="28"/>
      <c r="BV22">
        <f t="shared" si="17"/>
        <v>0</v>
      </c>
      <c r="BW22">
        <f t="shared" si="18"/>
        <v>0</v>
      </c>
      <c r="BX22">
        <f t="shared" si="19"/>
        <v>0</v>
      </c>
      <c r="BY22">
        <f t="shared" si="20"/>
        <v>1242432</v>
      </c>
      <c r="BZ22">
        <f t="shared" si="21"/>
        <v>431816</v>
      </c>
      <c r="CA22">
        <f t="shared" si="22"/>
        <v>516744</v>
      </c>
      <c r="CB22">
        <f t="shared" si="23"/>
        <v>293872</v>
      </c>
      <c r="CC22">
        <f t="shared" si="24"/>
        <v>-0.16120312500002854</v>
      </c>
      <c r="CD22">
        <f t="shared" si="25"/>
        <v>-0.20352187500010643</v>
      </c>
      <c r="CE22">
        <f t="shared" si="26"/>
        <v>-0.12125000000001052</v>
      </c>
      <c r="CF22">
        <f t="shared" si="27"/>
        <v>4.31874999999593E-3</v>
      </c>
      <c r="CG22">
        <f t="shared" si="28"/>
        <v>2.9218749998847215E-3</v>
      </c>
      <c r="CJ22" t="s">
        <v>245</v>
      </c>
    </row>
    <row r="23" spans="1:88" outlineLevel="1" x14ac:dyDescent="0.25">
      <c r="A23" s="10"/>
      <c r="B23" s="10" t="s">
        <v>70</v>
      </c>
      <c r="C23" s="11" t="s">
        <v>242</v>
      </c>
      <c r="D23" s="10">
        <v>32209643</v>
      </c>
      <c r="E23" s="11">
        <v>10</v>
      </c>
      <c r="F23" s="11">
        <v>32</v>
      </c>
      <c r="G23" s="11">
        <v>50</v>
      </c>
      <c r="I23" s="12">
        <f t="shared" si="0"/>
        <v>24.473099999999999</v>
      </c>
      <c r="J23" s="13">
        <f t="shared" si="1"/>
        <v>0.48627623721256397</v>
      </c>
      <c r="K23" s="13">
        <f t="shared" si="2"/>
        <v>0.11921398818360079</v>
      </c>
      <c r="L23" s="13">
        <f t="shared" si="3"/>
        <v>8.869641926798133E-2</v>
      </c>
      <c r="M23" s="13">
        <f t="shared" si="4"/>
        <v>0.36706224902896317</v>
      </c>
      <c r="N23" s="10">
        <f t="shared" si="5"/>
        <v>3839840</v>
      </c>
      <c r="O23" s="13">
        <f t="shared" si="6"/>
        <v>0.47754006309359859</v>
      </c>
      <c r="P23" s="14">
        <v>32798890</v>
      </c>
      <c r="Q23" s="14">
        <v>1024965.3125</v>
      </c>
      <c r="R23" s="14">
        <v>36605.8125</v>
      </c>
      <c r="S23" s="15">
        <v>15662784</v>
      </c>
      <c r="T23" s="15">
        <v>2856880</v>
      </c>
      <c r="U23" s="15">
        <v>982960</v>
      </c>
      <c r="V23" s="15">
        <v>11822944</v>
      </c>
      <c r="W23" s="16">
        <v>70.874915624999986</v>
      </c>
      <c r="X23" s="16">
        <v>73.596450000000004</v>
      </c>
      <c r="Y23" s="16">
        <v>36.217718750000003</v>
      </c>
      <c r="Z23" s="16">
        <v>42.867775000000002</v>
      </c>
      <c r="AA23" s="16">
        <v>41.729221875</v>
      </c>
      <c r="AB23" s="17">
        <v>4406.8</v>
      </c>
      <c r="AC23" s="17">
        <v>2007.14</v>
      </c>
      <c r="AD23" s="17">
        <v>12.672000000000001</v>
      </c>
      <c r="AE23" s="17">
        <v>11.204000000000001</v>
      </c>
      <c r="AG23" s="12">
        <f t="shared" si="7"/>
        <v>27.605112500000001</v>
      </c>
      <c r="AH23" s="13">
        <f t="shared" si="8"/>
        <v>0.54850878042951301</v>
      </c>
      <c r="AI23" s="13">
        <f t="shared" si="9"/>
        <v>0.1546562934584528</v>
      </c>
      <c r="AJ23" s="13">
        <f t="shared" si="10"/>
        <v>0.10809557870604154</v>
      </c>
      <c r="AK23" s="13">
        <f t="shared" si="11"/>
        <v>0.39385248697106018</v>
      </c>
      <c r="AL23" s="10">
        <f t="shared" si="12"/>
        <v>4981424</v>
      </c>
      <c r="AM23" s="13">
        <f t="shared" si="13"/>
        <v>0.53865457032234931</v>
      </c>
      <c r="AN23" s="14">
        <v>32798890</v>
      </c>
      <c r="AO23" s="14">
        <v>1024965.3125</v>
      </c>
      <c r="AP23" s="14">
        <v>36605.8125</v>
      </c>
      <c r="AQ23" s="15">
        <v>17667272</v>
      </c>
      <c r="AR23" s="15">
        <v>3481720</v>
      </c>
      <c r="AS23" s="15">
        <v>1499704</v>
      </c>
      <c r="AT23" s="15">
        <v>12685848</v>
      </c>
      <c r="AU23" s="16">
        <v>70.642012499999893</v>
      </c>
      <c r="AV23" s="16">
        <v>73.287356250000002</v>
      </c>
      <c r="AW23" s="16">
        <v>35.83523125</v>
      </c>
      <c r="AX23" s="16">
        <v>42.878449999999901</v>
      </c>
      <c r="AY23" s="16">
        <v>41.807968749999901</v>
      </c>
      <c r="AZ23" s="17">
        <v>3617.49</v>
      </c>
      <c r="BA23" s="17">
        <v>2264.5100000000002</v>
      </c>
      <c r="BB23" s="17">
        <v>9.7279999999999998</v>
      </c>
      <c r="BC23" s="17">
        <v>31.73</v>
      </c>
      <c r="BE23" s="18">
        <f t="shared" si="14"/>
        <v>1.2972998874953123</v>
      </c>
      <c r="BF23" s="19">
        <f t="shared" si="15"/>
        <v>0</v>
      </c>
      <c r="BG23" s="19">
        <f t="shared" si="16"/>
        <v>3.680080778209413E-2</v>
      </c>
      <c r="BH23" s="19"/>
      <c r="BJ23" s="18"/>
      <c r="BK23" s="18"/>
      <c r="BL23" s="18"/>
      <c r="BM23" s="18"/>
      <c r="BN23" s="18"/>
      <c r="BP23" s="18"/>
      <c r="BQ23" s="18"/>
      <c r="BR23" s="18"/>
      <c r="BS23" s="18"/>
      <c r="BT23" s="18"/>
      <c r="BV23">
        <f t="shared" si="17"/>
        <v>0</v>
      </c>
      <c r="BW23">
        <f t="shared" si="18"/>
        <v>0</v>
      </c>
      <c r="BX23">
        <f t="shared" si="19"/>
        <v>0</v>
      </c>
      <c r="BY23">
        <f t="shared" si="20"/>
        <v>2004488</v>
      </c>
      <c r="BZ23">
        <f t="shared" si="21"/>
        <v>624840</v>
      </c>
      <c r="CA23">
        <f t="shared" si="22"/>
        <v>516744</v>
      </c>
      <c r="CB23">
        <f t="shared" si="23"/>
        <v>862904</v>
      </c>
      <c r="CC23">
        <f t="shared" si="24"/>
        <v>-0.23290312500009236</v>
      </c>
      <c r="CD23">
        <f t="shared" si="25"/>
        <v>-0.30909375000000239</v>
      </c>
      <c r="CE23">
        <f t="shared" si="26"/>
        <v>-0.38248750000000342</v>
      </c>
      <c r="CF23">
        <f t="shared" si="27"/>
        <v>1.0674999999899626E-2</v>
      </c>
      <c r="CG23">
        <f t="shared" si="28"/>
        <v>7.874687499990074E-2</v>
      </c>
      <c r="CJ23" t="s">
        <v>245</v>
      </c>
    </row>
    <row r="24" spans="1:88" ht="15.75" customHeight="1" outlineLevel="1" thickBot="1" x14ac:dyDescent="0.3">
      <c r="A24" s="40"/>
      <c r="B24" s="40" t="s">
        <v>70</v>
      </c>
      <c r="C24" s="41" t="s">
        <v>243</v>
      </c>
      <c r="D24" s="40">
        <v>32209643</v>
      </c>
      <c r="E24" s="41">
        <v>10</v>
      </c>
      <c r="F24" s="41">
        <v>32</v>
      </c>
      <c r="G24" s="41">
        <v>50</v>
      </c>
      <c r="I24" s="42">
        <f t="shared" si="0"/>
        <v>41.717237500000003</v>
      </c>
      <c r="J24" s="43">
        <f t="shared" si="1"/>
        <v>0.8289142478232373</v>
      </c>
      <c r="K24" s="43">
        <f t="shared" si="2"/>
        <v>0.19719262333953841</v>
      </c>
      <c r="L24" s="43">
        <f t="shared" si="3"/>
        <v>0.13932001667947702</v>
      </c>
      <c r="M24" s="43">
        <f t="shared" si="4"/>
        <v>0.63172162448369884</v>
      </c>
      <c r="N24" s="40">
        <f t="shared" si="5"/>
        <v>6351504</v>
      </c>
      <c r="O24" s="43">
        <f t="shared" si="6"/>
        <v>0.84955978161639989</v>
      </c>
      <c r="P24" s="44">
        <v>31426902</v>
      </c>
      <c r="Q24" s="44">
        <v>982090.6875</v>
      </c>
      <c r="R24" s="44">
        <v>18169.75</v>
      </c>
      <c r="S24" s="45">
        <v>26699032</v>
      </c>
      <c r="T24" s="45">
        <v>4487448</v>
      </c>
      <c r="U24" s="45">
        <v>1864056</v>
      </c>
      <c r="V24" s="45">
        <v>20347528</v>
      </c>
      <c r="W24" s="46">
        <v>71.734515624999986</v>
      </c>
      <c r="X24" s="46">
        <v>75.629103125000015</v>
      </c>
      <c r="Y24" s="46">
        <v>37.222990624999987</v>
      </c>
      <c r="Z24" s="46">
        <v>43.655834374999998</v>
      </c>
      <c r="AA24" s="46">
        <v>42.226781250000002</v>
      </c>
      <c r="AB24" s="47">
        <v>4452.8900000000003</v>
      </c>
      <c r="AC24" s="47">
        <v>2234.58</v>
      </c>
      <c r="AD24" s="47">
        <v>14.076000000000001</v>
      </c>
      <c r="AE24" s="47">
        <v>14.24</v>
      </c>
      <c r="AG24" s="42">
        <f t="shared" si="7"/>
        <v>46.667812499999997</v>
      </c>
      <c r="AH24" s="43">
        <f t="shared" si="8"/>
        <v>0.9272813113762236</v>
      </c>
      <c r="AI24" s="43">
        <f t="shared" si="9"/>
        <v>0.2514086852809887</v>
      </c>
      <c r="AJ24" s="43">
        <f t="shared" si="10"/>
        <v>0.17080922008356317</v>
      </c>
      <c r="AK24" s="43">
        <f t="shared" si="11"/>
        <v>0.67587262609523491</v>
      </c>
      <c r="AL24" s="40">
        <f t="shared" si="12"/>
        <v>8097784</v>
      </c>
      <c r="AM24" s="43">
        <f t="shared" si="13"/>
        <v>0.95037684592646132</v>
      </c>
      <c r="AN24" s="44">
        <v>31426902</v>
      </c>
      <c r="AO24" s="44">
        <v>982090.6875</v>
      </c>
      <c r="AP24" s="44">
        <v>18169.75</v>
      </c>
      <c r="AQ24" s="45">
        <v>29867400</v>
      </c>
      <c r="AR24" s="45">
        <v>5501704</v>
      </c>
      <c r="AS24" s="45">
        <v>2596080</v>
      </c>
      <c r="AT24" s="45">
        <v>21769616</v>
      </c>
      <c r="AU24" s="46">
        <v>71.739218749999907</v>
      </c>
      <c r="AV24" s="46">
        <v>75.455887500000003</v>
      </c>
      <c r="AW24" s="46">
        <v>37.248506249999998</v>
      </c>
      <c r="AX24" s="46">
        <v>43.739165624999998</v>
      </c>
      <c r="AY24" s="46">
        <v>42.408618750000002</v>
      </c>
      <c r="AZ24" s="47">
        <v>3631.33</v>
      </c>
      <c r="BA24" s="47">
        <v>2544.14</v>
      </c>
      <c r="BB24" s="47">
        <v>9.2859999999999996</v>
      </c>
      <c r="BC24" s="47">
        <v>33.957000000000001</v>
      </c>
      <c r="BE24" s="48">
        <f t="shared" si="14"/>
        <v>1.2749396048557948</v>
      </c>
      <c r="BF24" s="49">
        <f t="shared" si="15"/>
        <v>0</v>
      </c>
      <c r="BG24" s="49">
        <f t="shared" si="16"/>
        <v>3.3231833972594216E-2</v>
      </c>
      <c r="BH24" s="49"/>
      <c r="BJ24" s="48"/>
      <c r="BK24" s="48"/>
      <c r="BL24" s="48"/>
      <c r="BM24" s="48"/>
      <c r="BN24" s="48"/>
      <c r="BP24" s="48"/>
      <c r="BQ24" s="48"/>
      <c r="BR24" s="48"/>
      <c r="BS24" s="48"/>
      <c r="BT24" s="48"/>
      <c r="BV24">
        <f t="shared" si="17"/>
        <v>0</v>
      </c>
      <c r="BW24">
        <f t="shared" si="18"/>
        <v>0</v>
      </c>
      <c r="BX24">
        <f t="shared" si="19"/>
        <v>0</v>
      </c>
      <c r="BY24">
        <f t="shared" si="20"/>
        <v>3168368</v>
      </c>
      <c r="BZ24">
        <f t="shared" si="21"/>
        <v>1014256</v>
      </c>
      <c r="CA24">
        <f t="shared" si="22"/>
        <v>732024</v>
      </c>
      <c r="CB24">
        <f t="shared" si="23"/>
        <v>1422088</v>
      </c>
      <c r="CC24">
        <f t="shared" si="24"/>
        <v>4.7031249999207603E-3</v>
      </c>
      <c r="CD24">
        <f t="shared" si="25"/>
        <v>-0.17321562500001164</v>
      </c>
      <c r="CE24">
        <f t="shared" si="26"/>
        <v>2.5515625000011255E-2</v>
      </c>
      <c r="CF24">
        <f t="shared" si="27"/>
        <v>8.3331250000000523E-2</v>
      </c>
      <c r="CG24">
        <f t="shared" si="28"/>
        <v>0.18183750000000032</v>
      </c>
      <c r="CJ24" t="s">
        <v>245</v>
      </c>
    </row>
    <row r="25" spans="1:88" x14ac:dyDescent="0.25">
      <c r="A25" s="10" t="s">
        <v>246</v>
      </c>
      <c r="B25" s="10" t="s">
        <v>73</v>
      </c>
      <c r="C25" s="11" t="s">
        <v>238</v>
      </c>
      <c r="D25" s="10">
        <v>25312408</v>
      </c>
      <c r="E25" s="11">
        <v>10</v>
      </c>
      <c r="F25" s="11">
        <v>32</v>
      </c>
      <c r="G25" s="11">
        <v>30</v>
      </c>
      <c r="I25" s="12">
        <f t="shared" si="0"/>
        <v>4.4673674999999999</v>
      </c>
      <c r="J25" s="13">
        <f t="shared" si="1"/>
        <v>0.18825518299167743</v>
      </c>
      <c r="K25" s="13">
        <f t="shared" si="2"/>
        <v>6.501570297065376E-2</v>
      </c>
      <c r="L25" s="13">
        <f t="shared" si="3"/>
        <v>3.684453885224985E-2</v>
      </c>
      <c r="M25" s="13">
        <f t="shared" si="4"/>
        <v>0.12323948002102368</v>
      </c>
      <c r="N25" s="10">
        <f t="shared" si="5"/>
        <v>1645704</v>
      </c>
      <c r="O25" s="13">
        <f t="shared" si="6"/>
        <v>0.20577840480444065</v>
      </c>
      <c r="P25" s="14">
        <v>23156910</v>
      </c>
      <c r="Q25" s="14">
        <v>723653.4375</v>
      </c>
      <c r="R25" s="14">
        <v>13819.46875</v>
      </c>
      <c r="S25" s="15">
        <v>4765192</v>
      </c>
      <c r="T25" s="15">
        <v>932624</v>
      </c>
      <c r="U25" s="15">
        <v>713080</v>
      </c>
      <c r="V25" s="15">
        <v>3119488</v>
      </c>
      <c r="W25" s="16">
        <v>66.209149999999994</v>
      </c>
      <c r="X25" s="16">
        <v>67.973675</v>
      </c>
      <c r="Y25" s="16">
        <v>27.396534375000002</v>
      </c>
      <c r="Z25" s="16">
        <v>33.180131250000002</v>
      </c>
      <c r="AA25" s="16">
        <v>32.615481249999988</v>
      </c>
      <c r="AB25" s="17">
        <v>1523.64</v>
      </c>
      <c r="AC25" s="17">
        <v>1609.62</v>
      </c>
      <c r="AD25" s="17">
        <v>12.144</v>
      </c>
      <c r="AE25" s="17">
        <v>8.8719999999999999</v>
      </c>
      <c r="AG25" s="12">
        <f t="shared" si="7"/>
        <v>4.7537025000000002</v>
      </c>
      <c r="AH25" s="13">
        <f t="shared" si="8"/>
        <v>0.20032136018035107</v>
      </c>
      <c r="AI25" s="13">
        <f t="shared" si="9"/>
        <v>7.6074627115681762E-2</v>
      </c>
      <c r="AJ25" s="13">
        <f t="shared" si="10"/>
        <v>4.0644098341019154E-2</v>
      </c>
      <c r="AK25" s="13">
        <f t="shared" si="11"/>
        <v>0.12424673306466931</v>
      </c>
      <c r="AL25" s="10">
        <f t="shared" si="12"/>
        <v>1925632</v>
      </c>
      <c r="AM25" s="13">
        <f t="shared" si="13"/>
        <v>0.21896772928685218</v>
      </c>
      <c r="AN25" s="14">
        <v>23156910</v>
      </c>
      <c r="AO25" s="14">
        <v>723653.4375</v>
      </c>
      <c r="AP25" s="14">
        <v>13819.46875</v>
      </c>
      <c r="AQ25" s="15">
        <v>5070616</v>
      </c>
      <c r="AR25" s="15">
        <v>1028800</v>
      </c>
      <c r="AS25" s="15">
        <v>896832</v>
      </c>
      <c r="AT25" s="15">
        <v>3144984</v>
      </c>
      <c r="AU25" s="16">
        <v>66.00368125</v>
      </c>
      <c r="AV25" s="16">
        <v>67.390446874999895</v>
      </c>
      <c r="AW25" s="16">
        <v>27.270849999999999</v>
      </c>
      <c r="AX25" s="16">
        <v>33.133299999999998</v>
      </c>
      <c r="AY25" s="16">
        <v>32.537343749999998</v>
      </c>
      <c r="AZ25" s="17">
        <v>1224.3800000000001</v>
      </c>
      <c r="BA25" s="17">
        <v>1482.72</v>
      </c>
      <c r="BB25" s="17">
        <v>7.4029999999999996</v>
      </c>
      <c r="BC25" s="17">
        <v>24.324999999999999</v>
      </c>
      <c r="BE25" s="18">
        <f t="shared" si="14"/>
        <v>1.1700962019901513</v>
      </c>
      <c r="BF25" s="19">
        <f t="shared" si="15"/>
        <v>0</v>
      </c>
      <c r="BG25" s="19">
        <f t="shared" si="16"/>
        <v>3.4403500679303756E-2</v>
      </c>
      <c r="BH25" s="19">
        <f t="array" ref="BH25">AVERAGE(AL25:AL29/AQ25:AQ29) - AVERAGE(N25:N29/S25:S29)</f>
        <v>2.6247574823152514E-2</v>
      </c>
      <c r="BJ25" s="18">
        <f>IF( OR(ISBLANK(N25:N29),ISBLANK(AL25:AL29), ISBLANK(W25:W29),ISBLANK(AU25:AU29)), "·", bdRateExtend( N25:N29,W25:W29, AL25:AL29,AU25:AU29))</f>
        <v>0.17668492226676258</v>
      </c>
      <c r="BK25" s="18">
        <f>IF( OR(ISBLANK(N25:N29),ISBLANK(AL25:AL29), ISBLANK(X25:X29),ISBLANK(AV25:AV29)), "·", bdRateExtend( N25:N29,X25:X29, AL25:AL29,AV25:AV29))</f>
        <v>0.1887625391060832</v>
      </c>
      <c r="BL25" s="18">
        <f>IF( OR(ISBLANK(V25:V29),ISBLANK(AT25:AT29), ISBLANK(Y25:Y29),ISBLANK(AW25:AW29)), "·", bdRateExtend( V25:V29,Y25:Y29, AT25:AT29,AW25:AW29))</f>
        <v>-4.3167588232075782E-2</v>
      </c>
      <c r="BM25" s="18">
        <f>IF( OR(ISBLANK(V25:V29),ISBLANK(AT25:AT29), ISBLANK(Z25:Z29),ISBLANK(AX25:AX29)), "·", bdRateExtend( V25:V29,Z25:Z29, AT25:AT29,AX25:AX29))</f>
        <v>-3.0536130961200447E-2</v>
      </c>
      <c r="BN25" s="18">
        <f>IF( OR(ISBLANK(V25:V29),ISBLANK(AT25:AT29), ISBLANK(AA25:AA29),ISBLANK(AY25:AY29)), "·", bdRateExtend( V25:V29,AA25:AA29, AT25:AT29,AY25:AY29))</f>
        <v>-2.2101254143191862E-2</v>
      </c>
      <c r="BP25" s="18">
        <f>IF( OR(ISBLANK(S25:S29),ISBLANK(AQ25:AQ29), ISBLANK(W25:W29),ISBLANK(AU25:AU29)), "·", bdRateExtend( S25:S29,W25:W29, AQ25:AQ29,AU25:AU29))</f>
        <v>6.1794442261294824E-2</v>
      </c>
      <c r="BQ25" s="18">
        <f>IF( OR(ISBLANK(S25:S29),ISBLANK(AQ25:AQ29), ISBLANK(X25:X29),ISBLANK(AV25:AV29)), "·", bdRateExtend( S25:S29,X25:X29, AQ25:AQ29,AV25:AV29))</f>
        <v>8.3718932386995126E-2</v>
      </c>
      <c r="BR25" s="18">
        <f>IF( OR(ISBLANK(S25:S29),ISBLANK(AQ25:AQ29), ISBLANK(Y25:Y29),ISBLANK(AW25:AW29)), "·", bdRateExtend( S25:S29,Y25:Y29, AQ25:AQ29,AW25:AW29))</f>
        <v>-1.2011907990475135E-2</v>
      </c>
      <c r="BS25" s="18">
        <f>IF( OR(ISBLANK(S25:S29),ISBLANK(AQ25:AQ29), ISBLANK(Z25:Z29),ISBLANK(AX25:AX29)), "·", bdRateExtend( S25:S29,Z25:Z29, AQ25:AQ29,AX25:AX29))</f>
        <v>-1.4963667975831374E-3</v>
      </c>
      <c r="BT25" s="18">
        <f>IF( OR(ISBLANK(S25:S29),ISBLANK(AQ25:AQ29), ISBLANK(AA25:AA29),ISBLANK(AY25:AY29)), "·", bdRateExtend( S25:S29,AA25:AA29, AQ25:AQ29,AY25:AY29))</f>
        <v>6.9927959717099863E-3</v>
      </c>
      <c r="BV25">
        <f t="shared" si="17"/>
        <v>0</v>
      </c>
      <c r="BW25">
        <f t="shared" si="18"/>
        <v>0</v>
      </c>
      <c r="BX25">
        <f t="shared" si="19"/>
        <v>0</v>
      </c>
      <c r="BY25">
        <f t="shared" si="20"/>
        <v>305424</v>
      </c>
      <c r="BZ25">
        <f t="shared" si="21"/>
        <v>96176</v>
      </c>
      <c r="CA25">
        <f t="shared" si="22"/>
        <v>183752</v>
      </c>
      <c r="CB25">
        <f t="shared" si="23"/>
        <v>25496</v>
      </c>
      <c r="CC25">
        <f t="shared" si="24"/>
        <v>-0.20546874999999432</v>
      </c>
      <c r="CD25">
        <f t="shared" si="25"/>
        <v>-0.58322812500010457</v>
      </c>
      <c r="CE25">
        <f t="shared" si="26"/>
        <v>-0.12568437500000229</v>
      </c>
      <c r="CF25">
        <f t="shared" si="27"/>
        <v>-4.6831250000003877E-2</v>
      </c>
      <c r="CG25">
        <f t="shared" si="28"/>
        <v>-7.8137499999989757E-2</v>
      </c>
      <c r="CJ25" t="s">
        <v>247</v>
      </c>
    </row>
    <row r="26" spans="1:88" outlineLevel="1" x14ac:dyDescent="0.25">
      <c r="A26" s="20"/>
      <c r="B26" s="20" t="s">
        <v>73</v>
      </c>
      <c r="C26" s="21" t="s">
        <v>240</v>
      </c>
      <c r="D26" s="20">
        <v>25312408</v>
      </c>
      <c r="E26" s="21">
        <v>10</v>
      </c>
      <c r="F26" s="21">
        <v>32</v>
      </c>
      <c r="G26" s="21">
        <v>30</v>
      </c>
      <c r="I26" s="22">
        <f t="shared" si="0"/>
        <v>7.7764274999999996</v>
      </c>
      <c r="J26" s="23">
        <f t="shared" si="1"/>
        <v>0.3276992058598297</v>
      </c>
      <c r="K26" s="23">
        <f t="shared" si="2"/>
        <v>8.0109960300892749E-2</v>
      </c>
      <c r="L26" s="23">
        <f t="shared" si="3"/>
        <v>5.1938796182488839E-2</v>
      </c>
      <c r="M26" s="23">
        <f t="shared" si="4"/>
        <v>0.24758924555893694</v>
      </c>
      <c r="N26" s="20">
        <f t="shared" si="5"/>
        <v>2027776</v>
      </c>
      <c r="O26" s="23">
        <f t="shared" si="6"/>
        <v>0.33767930135687557</v>
      </c>
      <c r="P26" s="24">
        <v>24564301</v>
      </c>
      <c r="Q26" s="24">
        <v>767634.40625</v>
      </c>
      <c r="R26" s="24">
        <v>17406.84375</v>
      </c>
      <c r="S26" s="25">
        <v>8294856</v>
      </c>
      <c r="T26" s="25">
        <v>1314696</v>
      </c>
      <c r="U26" s="25">
        <v>713080</v>
      </c>
      <c r="V26" s="25">
        <v>6267080</v>
      </c>
      <c r="W26" s="26">
        <v>67.941665624999999</v>
      </c>
      <c r="X26" s="26">
        <v>69.928681249999983</v>
      </c>
      <c r="Y26" s="26">
        <v>29.770700000000001</v>
      </c>
      <c r="Z26" s="26">
        <v>34.353165625000003</v>
      </c>
      <c r="AA26" s="26">
        <v>33.908662499999998</v>
      </c>
      <c r="AB26" s="27">
        <v>1538.86</v>
      </c>
      <c r="AC26" s="27">
        <v>1710.78</v>
      </c>
      <c r="AD26" s="27">
        <v>12.1</v>
      </c>
      <c r="AE26" s="27">
        <v>8.8239999999999998</v>
      </c>
      <c r="AG26" s="22">
        <f t="shared" si="7"/>
        <v>8.0374874999999992</v>
      </c>
      <c r="AH26" s="23">
        <f t="shared" si="8"/>
        <v>0.33870029275760727</v>
      </c>
      <c r="AI26" s="23">
        <f t="shared" si="9"/>
        <v>9.2572464855971037E-2</v>
      </c>
      <c r="AJ26" s="23">
        <f t="shared" si="10"/>
        <v>5.7141936081308423E-2</v>
      </c>
      <c r="AK26" s="23">
        <f t="shared" si="11"/>
        <v>0.24612782790163623</v>
      </c>
      <c r="AL26" s="20">
        <f t="shared" si="12"/>
        <v>2343232</v>
      </c>
      <c r="AM26" s="23">
        <f t="shared" si="13"/>
        <v>0.34901542689938542</v>
      </c>
      <c r="AN26" s="24">
        <v>24564301</v>
      </c>
      <c r="AO26" s="24">
        <v>767634.40625</v>
      </c>
      <c r="AP26" s="24">
        <v>17406.84375</v>
      </c>
      <c r="AQ26" s="25">
        <v>8573320</v>
      </c>
      <c r="AR26" s="25">
        <v>1446400</v>
      </c>
      <c r="AS26" s="25">
        <v>896832</v>
      </c>
      <c r="AT26" s="25">
        <v>6230088</v>
      </c>
      <c r="AU26" s="26">
        <v>67.748321875000002</v>
      </c>
      <c r="AV26" s="26">
        <v>69.546668749999995</v>
      </c>
      <c r="AW26" s="26">
        <v>29.668578125</v>
      </c>
      <c r="AX26" s="26">
        <v>34.302434374999997</v>
      </c>
      <c r="AY26" s="26">
        <v>33.849840624999899</v>
      </c>
      <c r="AZ26" s="27">
        <v>1226.07</v>
      </c>
      <c r="BA26" s="27">
        <v>1562.46</v>
      </c>
      <c r="BB26" s="27">
        <v>7.5410000000000004</v>
      </c>
      <c r="BC26" s="27">
        <v>24.5</v>
      </c>
      <c r="BE26" s="28">
        <f t="shared" si="14"/>
        <v>1.1555674788536801</v>
      </c>
      <c r="BF26" s="29">
        <f t="shared" si="15"/>
        <v>0</v>
      </c>
      <c r="BG26" s="29">
        <f t="shared" si="16"/>
        <v>2.885488587142207E-2</v>
      </c>
      <c r="BH26" s="29"/>
      <c r="BJ26" s="28"/>
      <c r="BK26" s="28"/>
      <c r="BL26" s="28"/>
      <c r="BM26" s="28"/>
      <c r="BN26" s="28"/>
      <c r="BP26" s="28"/>
      <c r="BQ26" s="28"/>
      <c r="BR26" s="28"/>
      <c r="BS26" s="28"/>
      <c r="BT26" s="28"/>
      <c r="BV26">
        <f t="shared" si="17"/>
        <v>0</v>
      </c>
      <c r="BW26">
        <f t="shared" si="18"/>
        <v>0</v>
      </c>
      <c r="BX26">
        <f t="shared" si="19"/>
        <v>0</v>
      </c>
      <c r="BY26">
        <f t="shared" si="20"/>
        <v>278464</v>
      </c>
      <c r="BZ26">
        <f t="shared" si="21"/>
        <v>131704</v>
      </c>
      <c r="CA26">
        <f t="shared" si="22"/>
        <v>183752</v>
      </c>
      <c r="CB26">
        <f t="shared" si="23"/>
        <v>-36992</v>
      </c>
      <c r="CC26">
        <f t="shared" si="24"/>
        <v>-0.19334374999999682</v>
      </c>
      <c r="CD26">
        <f t="shared" si="25"/>
        <v>-0.38201249999998765</v>
      </c>
      <c r="CE26">
        <f t="shared" si="26"/>
        <v>-0.10212187500000169</v>
      </c>
      <c r="CF26">
        <f t="shared" si="27"/>
        <v>-5.0731250000005446E-2</v>
      </c>
      <c r="CG26">
        <f t="shared" si="28"/>
        <v>-5.8821875000099055E-2</v>
      </c>
      <c r="CJ26" t="s">
        <v>247</v>
      </c>
    </row>
    <row r="27" spans="1:88" outlineLevel="1" x14ac:dyDescent="0.25">
      <c r="A27" s="10"/>
      <c r="B27" s="10" t="s">
        <v>73</v>
      </c>
      <c r="C27" s="11" t="s">
        <v>241</v>
      </c>
      <c r="D27" s="10">
        <v>25312408</v>
      </c>
      <c r="E27" s="11">
        <v>10</v>
      </c>
      <c r="F27" s="11">
        <v>32</v>
      </c>
      <c r="G27" s="11">
        <v>30</v>
      </c>
      <c r="I27" s="12">
        <f t="shared" si="0"/>
        <v>14.253</v>
      </c>
      <c r="J27" s="13">
        <f t="shared" si="1"/>
        <v>0.60062242991658477</v>
      </c>
      <c r="K27" s="13">
        <f t="shared" si="2"/>
        <v>0.10281755888258438</v>
      </c>
      <c r="L27" s="13">
        <f t="shared" si="3"/>
        <v>7.4646394764180474E-2</v>
      </c>
      <c r="M27" s="13">
        <f t="shared" si="4"/>
        <v>0.4978048710340004</v>
      </c>
      <c r="N27" s="10">
        <f t="shared" si="5"/>
        <v>2602560</v>
      </c>
      <c r="O27" s="13">
        <f t="shared" si="6"/>
        <v>0.6117378159126754</v>
      </c>
      <c r="P27" s="14">
        <v>24852477</v>
      </c>
      <c r="Q27" s="14">
        <v>776639.90625</v>
      </c>
      <c r="R27" s="14">
        <v>18382.90625</v>
      </c>
      <c r="S27" s="15">
        <v>15203200</v>
      </c>
      <c r="T27" s="15">
        <v>1889480</v>
      </c>
      <c r="U27" s="15">
        <v>713080</v>
      </c>
      <c r="V27" s="15">
        <v>12600640</v>
      </c>
      <c r="W27" s="16">
        <v>69.265340624999993</v>
      </c>
      <c r="X27" s="16">
        <v>71.6325875</v>
      </c>
      <c r="Y27" s="16">
        <v>32.260521875000002</v>
      </c>
      <c r="Z27" s="16">
        <v>35.597590625000002</v>
      </c>
      <c r="AA27" s="16">
        <v>35.223975000000003</v>
      </c>
      <c r="AB27" s="17">
        <v>1539.38</v>
      </c>
      <c r="AC27" s="17">
        <v>1850.88</v>
      </c>
      <c r="AD27" s="17">
        <v>12.092000000000001</v>
      </c>
      <c r="AE27" s="17">
        <v>9.84</v>
      </c>
      <c r="AG27" s="12">
        <f t="shared" si="7"/>
        <v>13.9707825</v>
      </c>
      <c r="AH27" s="13">
        <f t="shared" si="8"/>
        <v>0.58872976446966252</v>
      </c>
      <c r="AI27" s="13">
        <f t="shared" si="9"/>
        <v>0.11700727959189026</v>
      </c>
      <c r="AJ27" s="13">
        <f t="shared" si="10"/>
        <v>8.1576750817227664E-2</v>
      </c>
      <c r="AK27" s="13">
        <f t="shared" si="11"/>
        <v>0.47172248487777219</v>
      </c>
      <c r="AL27" s="10">
        <f t="shared" si="12"/>
        <v>2961736</v>
      </c>
      <c r="AM27" s="13">
        <f t="shared" si="13"/>
        <v>0.59962505950614098</v>
      </c>
      <c r="AN27" s="14">
        <v>24852477</v>
      </c>
      <c r="AO27" s="14">
        <v>776639.90625</v>
      </c>
      <c r="AP27" s="14">
        <v>18382.90625</v>
      </c>
      <c r="AQ27" s="15">
        <v>14902168</v>
      </c>
      <c r="AR27" s="15">
        <v>2064904</v>
      </c>
      <c r="AS27" s="15">
        <v>896832</v>
      </c>
      <c r="AT27" s="15">
        <v>11940432</v>
      </c>
      <c r="AU27" s="16">
        <v>69.223143750000006</v>
      </c>
      <c r="AV27" s="16">
        <v>71.460134374999996</v>
      </c>
      <c r="AW27" s="16">
        <v>32.194959374999897</v>
      </c>
      <c r="AX27" s="16">
        <v>35.558765624999999</v>
      </c>
      <c r="AY27" s="16">
        <v>35.158484375</v>
      </c>
      <c r="AZ27" s="17">
        <v>1217.8699999999999</v>
      </c>
      <c r="BA27" s="17">
        <v>1672.53</v>
      </c>
      <c r="BB27" s="17">
        <v>7.5579999999999998</v>
      </c>
      <c r="BC27" s="17">
        <v>25.651</v>
      </c>
      <c r="BE27" s="18">
        <f t="shared" si="14"/>
        <v>1.138008729865978</v>
      </c>
      <c r="BF27" s="19">
        <f t="shared" si="15"/>
        <v>0</v>
      </c>
      <c r="BG27" s="19">
        <f t="shared" si="16"/>
        <v>2.7560296397042244E-2</v>
      </c>
      <c r="BH27" s="19"/>
      <c r="BJ27" s="18"/>
      <c r="BK27" s="18"/>
      <c r="BL27" s="18"/>
      <c r="BM27" s="18"/>
      <c r="BN27" s="18"/>
      <c r="BP27" s="18"/>
      <c r="BQ27" s="18"/>
      <c r="BR27" s="18"/>
      <c r="BS27" s="18"/>
      <c r="BT27" s="18"/>
      <c r="BV27">
        <f t="shared" si="17"/>
        <v>0</v>
      </c>
      <c r="BW27">
        <f t="shared" si="18"/>
        <v>0</v>
      </c>
      <c r="BX27">
        <f t="shared" si="19"/>
        <v>0</v>
      </c>
      <c r="BY27">
        <f t="shared" si="20"/>
        <v>-301032</v>
      </c>
      <c r="BZ27">
        <f t="shared" si="21"/>
        <v>175424</v>
      </c>
      <c r="CA27">
        <f t="shared" si="22"/>
        <v>183752</v>
      </c>
      <c r="CB27">
        <f t="shared" si="23"/>
        <v>-660208</v>
      </c>
      <c r="CC27">
        <f t="shared" si="24"/>
        <v>-4.2196874999987699E-2</v>
      </c>
      <c r="CD27">
        <f t="shared" si="25"/>
        <v>-0.17245312500000409</v>
      </c>
      <c r="CE27">
        <f t="shared" si="26"/>
        <v>-6.5562500000105217E-2</v>
      </c>
      <c r="CF27">
        <f t="shared" si="27"/>
        <v>-3.8825000000002774E-2</v>
      </c>
      <c r="CG27">
        <f t="shared" si="28"/>
        <v>-6.5490625000002467E-2</v>
      </c>
      <c r="CJ27" t="s">
        <v>247</v>
      </c>
    </row>
    <row r="28" spans="1:88" outlineLevel="1" x14ac:dyDescent="0.25">
      <c r="A28" s="20"/>
      <c r="B28" s="20" t="s">
        <v>73</v>
      </c>
      <c r="C28" s="21" t="s">
        <v>242</v>
      </c>
      <c r="D28" s="20">
        <v>25312408</v>
      </c>
      <c r="E28" s="21">
        <v>10</v>
      </c>
      <c r="F28" s="21">
        <v>32</v>
      </c>
      <c r="G28" s="21">
        <v>30</v>
      </c>
      <c r="I28" s="22">
        <f t="shared" si="0"/>
        <v>27.162097500000002</v>
      </c>
      <c r="J28" s="23">
        <f t="shared" si="1"/>
        <v>1.1446127132590467</v>
      </c>
      <c r="K28" s="23">
        <f t="shared" si="2"/>
        <v>0.14095758886313781</v>
      </c>
      <c r="L28" s="23">
        <f t="shared" si="3"/>
        <v>0.11278642474473388</v>
      </c>
      <c r="M28" s="23">
        <f t="shared" si="4"/>
        <v>1.0036551243959089</v>
      </c>
      <c r="N28" s="20">
        <f t="shared" si="5"/>
        <v>3567976</v>
      </c>
      <c r="O28" s="23">
        <f t="shared" si="6"/>
        <v>1.1352510792816404</v>
      </c>
      <c r="P28" s="24">
        <v>25521142</v>
      </c>
      <c r="Q28" s="24">
        <v>797535.6875</v>
      </c>
      <c r="R28" s="24">
        <v>20619</v>
      </c>
      <c r="S28" s="25">
        <v>28972904</v>
      </c>
      <c r="T28" s="25">
        <v>2854896</v>
      </c>
      <c r="U28" s="25">
        <v>713080</v>
      </c>
      <c r="V28" s="25">
        <v>25404928</v>
      </c>
      <c r="W28" s="26">
        <v>70.423309375000002</v>
      </c>
      <c r="X28" s="26">
        <v>72.950893750000006</v>
      </c>
      <c r="Y28" s="26">
        <v>34.792356249999997</v>
      </c>
      <c r="Z28" s="26">
        <v>37.374493749999992</v>
      </c>
      <c r="AA28" s="26">
        <v>36.941787499999997</v>
      </c>
      <c r="AB28" s="27">
        <v>1527.83</v>
      </c>
      <c r="AC28" s="27">
        <v>2123.92</v>
      </c>
      <c r="AD28" s="27">
        <v>12.18</v>
      </c>
      <c r="AE28" s="27">
        <v>12.76</v>
      </c>
      <c r="AG28" s="22">
        <f t="shared" si="7"/>
        <v>25.741882499999999</v>
      </c>
      <c r="AH28" s="23">
        <f t="shared" si="8"/>
        <v>1.0847647525276931</v>
      </c>
      <c r="AI28" s="23">
        <f t="shared" si="9"/>
        <v>0.15862228516544138</v>
      </c>
      <c r="AJ28" s="23">
        <f t="shared" si="10"/>
        <v>0.12319175639077878</v>
      </c>
      <c r="AK28" s="23">
        <f t="shared" si="11"/>
        <v>0.9261424673622517</v>
      </c>
      <c r="AL28" s="20">
        <f t="shared" si="12"/>
        <v>4015112</v>
      </c>
      <c r="AM28" s="23">
        <f t="shared" si="13"/>
        <v>1.07589260700011</v>
      </c>
      <c r="AN28" s="24">
        <v>25521142</v>
      </c>
      <c r="AO28" s="24">
        <v>797535.6875</v>
      </c>
      <c r="AP28" s="24">
        <v>20619</v>
      </c>
      <c r="AQ28" s="25">
        <v>27458008</v>
      </c>
      <c r="AR28" s="25">
        <v>3118280</v>
      </c>
      <c r="AS28" s="25">
        <v>896832</v>
      </c>
      <c r="AT28" s="25">
        <v>23442896</v>
      </c>
      <c r="AU28" s="26">
        <v>70.290937499999998</v>
      </c>
      <c r="AV28" s="26">
        <v>72.740831249999999</v>
      </c>
      <c r="AW28" s="26">
        <v>34.909099999999903</v>
      </c>
      <c r="AX28" s="26">
        <v>37.332259375</v>
      </c>
      <c r="AY28" s="26">
        <v>36.894778125000002</v>
      </c>
      <c r="AZ28" s="27">
        <v>1224.17</v>
      </c>
      <c r="BA28" s="27">
        <v>1891.96</v>
      </c>
      <c r="BB28" s="27">
        <v>7.6639999999999997</v>
      </c>
      <c r="BC28" s="27">
        <v>26.405999999999999</v>
      </c>
      <c r="BE28" s="28">
        <f t="shared" si="14"/>
        <v>1.1253192286046765</v>
      </c>
      <c r="BF28" s="29">
        <f t="shared" si="15"/>
        <v>0</v>
      </c>
      <c r="BG28" s="29">
        <f t="shared" si="16"/>
        <v>2.3078640705556291E-2</v>
      </c>
      <c r="BH28" s="29"/>
      <c r="BJ28" s="28"/>
      <c r="BK28" s="28"/>
      <c r="BL28" s="28"/>
      <c r="BM28" s="28"/>
      <c r="BN28" s="28"/>
      <c r="BP28" s="28"/>
      <c r="BQ28" s="28"/>
      <c r="BR28" s="28"/>
      <c r="BS28" s="28"/>
      <c r="BT28" s="28"/>
      <c r="BV28">
        <f t="shared" si="17"/>
        <v>0</v>
      </c>
      <c r="BW28">
        <f t="shared" si="18"/>
        <v>0</v>
      </c>
      <c r="BX28">
        <f t="shared" si="19"/>
        <v>0</v>
      </c>
      <c r="BY28">
        <f t="shared" si="20"/>
        <v>-1514896</v>
      </c>
      <c r="BZ28">
        <f t="shared" si="21"/>
        <v>263384</v>
      </c>
      <c r="CA28">
        <f t="shared" si="22"/>
        <v>183752</v>
      </c>
      <c r="CB28">
        <f t="shared" si="23"/>
        <v>-1962032</v>
      </c>
      <c r="CC28">
        <f t="shared" si="24"/>
        <v>-0.13237187500000402</v>
      </c>
      <c r="CD28">
        <f t="shared" si="25"/>
        <v>-0.21006250000000648</v>
      </c>
      <c r="CE28">
        <f t="shared" si="26"/>
        <v>0.11674374999990533</v>
      </c>
      <c r="CF28">
        <f t="shared" si="27"/>
        <v>-4.2234374999992497E-2</v>
      </c>
      <c r="CG28">
        <f t="shared" si="28"/>
        <v>-4.7009374999994691E-2</v>
      </c>
      <c r="CJ28" t="s">
        <v>247</v>
      </c>
    </row>
    <row r="29" spans="1:88" ht="15.75" customHeight="1" outlineLevel="1" thickBot="1" x14ac:dyDescent="0.3">
      <c r="A29" s="30"/>
      <c r="B29" s="30" t="s">
        <v>73</v>
      </c>
      <c r="C29" s="31" t="s">
        <v>243</v>
      </c>
      <c r="D29" s="30">
        <v>25312408</v>
      </c>
      <c r="E29" s="31">
        <v>10</v>
      </c>
      <c r="F29" s="31">
        <v>32</v>
      </c>
      <c r="G29" s="31">
        <v>30</v>
      </c>
      <c r="I29" s="32">
        <f t="shared" si="0"/>
        <v>47.725432499999997</v>
      </c>
      <c r="J29" s="33">
        <f t="shared" si="1"/>
        <v>2.0111531072033921</v>
      </c>
      <c r="K29" s="33">
        <f t="shared" si="2"/>
        <v>0.22736232759838573</v>
      </c>
      <c r="L29" s="33">
        <f t="shared" si="3"/>
        <v>0.17444567107167364</v>
      </c>
      <c r="M29" s="33">
        <f t="shared" si="4"/>
        <v>1.7837907796050063</v>
      </c>
      <c r="N29" s="30">
        <f t="shared" si="5"/>
        <v>5755088</v>
      </c>
      <c r="O29" s="33">
        <f t="shared" si="6"/>
        <v>2.0718076713545908</v>
      </c>
      <c r="P29" s="34">
        <v>24571358</v>
      </c>
      <c r="Q29" s="34">
        <v>767854.9375</v>
      </c>
      <c r="R29" s="34">
        <v>9649.625</v>
      </c>
      <c r="S29" s="35">
        <v>50907128</v>
      </c>
      <c r="T29" s="35">
        <v>4415640</v>
      </c>
      <c r="U29" s="35">
        <v>1339448</v>
      </c>
      <c r="V29" s="35">
        <v>45152040</v>
      </c>
      <c r="W29" s="36">
        <v>71.157656250000016</v>
      </c>
      <c r="X29" s="36">
        <v>74.909078125000022</v>
      </c>
      <c r="Y29" s="36">
        <v>36.492303124999992</v>
      </c>
      <c r="Z29" s="36">
        <v>39.377640624999998</v>
      </c>
      <c r="AA29" s="36">
        <v>38.733193750000012</v>
      </c>
      <c r="AB29" s="37">
        <v>1427.02</v>
      </c>
      <c r="AC29" s="37">
        <v>2400.66</v>
      </c>
      <c r="AD29" s="37">
        <v>12.436</v>
      </c>
      <c r="AE29" s="37">
        <v>14.54</v>
      </c>
      <c r="AG29" s="32">
        <f t="shared" si="7"/>
        <v>45.927630000000001</v>
      </c>
      <c r="AH29" s="33">
        <f t="shared" si="8"/>
        <v>1.9353935824675392</v>
      </c>
      <c r="AI29" s="33">
        <f t="shared" si="9"/>
        <v>0.25235844807811253</v>
      </c>
      <c r="AJ29" s="33">
        <f t="shared" si="10"/>
        <v>0.19041791677820616</v>
      </c>
      <c r="AK29" s="33">
        <f t="shared" si="11"/>
        <v>1.6830351343894268</v>
      </c>
      <c r="AL29" s="30">
        <f t="shared" si="12"/>
        <v>6387800</v>
      </c>
      <c r="AM29" s="33">
        <f t="shared" si="13"/>
        <v>1.9937633076690349</v>
      </c>
      <c r="AN29" s="34">
        <v>24571358</v>
      </c>
      <c r="AO29" s="34">
        <v>767854.9375</v>
      </c>
      <c r="AP29" s="34">
        <v>9649.625</v>
      </c>
      <c r="AQ29" s="35">
        <v>48989472</v>
      </c>
      <c r="AR29" s="35">
        <v>4819936</v>
      </c>
      <c r="AS29" s="35">
        <v>1567864</v>
      </c>
      <c r="AT29" s="35">
        <v>42601672</v>
      </c>
      <c r="AU29" s="36">
        <v>71.124456249999895</v>
      </c>
      <c r="AV29" s="36">
        <v>74.785578125000001</v>
      </c>
      <c r="AW29" s="36">
        <v>37.344856249999999</v>
      </c>
      <c r="AX29" s="36">
        <v>39.347162499999897</v>
      </c>
      <c r="AY29" s="36">
        <v>38.690465625000002</v>
      </c>
      <c r="AZ29" s="37">
        <v>1218.83</v>
      </c>
      <c r="BA29" s="37">
        <v>2187.9499999999998</v>
      </c>
      <c r="BB29" s="37">
        <v>7.46</v>
      </c>
      <c r="BC29" s="37">
        <v>28.568999999999999</v>
      </c>
      <c r="BE29" s="38">
        <f t="shared" si="14"/>
        <v>1.1099395873703408</v>
      </c>
      <c r="BF29" s="39">
        <f t="shared" si="15"/>
        <v>0</v>
      </c>
      <c r="BG29" s="39">
        <f t="shared" si="16"/>
        <v>1.7340550462438181E-2</v>
      </c>
      <c r="BH29" s="39"/>
      <c r="BJ29" s="38"/>
      <c r="BK29" s="38"/>
      <c r="BL29" s="38"/>
      <c r="BM29" s="38"/>
      <c r="BN29" s="38"/>
      <c r="BP29" s="38"/>
      <c r="BQ29" s="38"/>
      <c r="BR29" s="38"/>
      <c r="BS29" s="38"/>
      <c r="BT29" s="38"/>
      <c r="BV29">
        <f t="shared" si="17"/>
        <v>0</v>
      </c>
      <c r="BW29">
        <f t="shared" si="18"/>
        <v>0</v>
      </c>
      <c r="BX29">
        <f t="shared" si="19"/>
        <v>0</v>
      </c>
      <c r="BY29">
        <f t="shared" si="20"/>
        <v>-1917656</v>
      </c>
      <c r="BZ29">
        <f t="shared" si="21"/>
        <v>404296</v>
      </c>
      <c r="CA29">
        <f t="shared" si="22"/>
        <v>228416</v>
      </c>
      <c r="CB29">
        <f t="shared" si="23"/>
        <v>-2550368</v>
      </c>
      <c r="CC29">
        <f t="shared" si="24"/>
        <v>-3.3200000000121577E-2</v>
      </c>
      <c r="CD29">
        <f t="shared" si="25"/>
        <v>-0.12350000000002126</v>
      </c>
      <c r="CE29">
        <f t="shared" si="26"/>
        <v>0.85255312500000713</v>
      </c>
      <c r="CF29">
        <f t="shared" si="27"/>
        <v>-3.0478125000101386E-2</v>
      </c>
      <c r="CG29">
        <f t="shared" si="28"/>
        <v>-4.2728125000010664E-2</v>
      </c>
      <c r="CJ29" t="s">
        <v>247</v>
      </c>
    </row>
    <row r="30" spans="1:88" x14ac:dyDescent="0.25">
      <c r="A30" s="20" t="s">
        <v>248</v>
      </c>
      <c r="B30" s="20" t="s">
        <v>77</v>
      </c>
      <c r="C30" s="21" t="s">
        <v>238</v>
      </c>
      <c r="D30" s="20">
        <v>28802925</v>
      </c>
      <c r="E30" s="21">
        <v>11</v>
      </c>
      <c r="F30" s="21">
        <v>10</v>
      </c>
      <c r="G30" s="21">
        <v>30</v>
      </c>
      <c r="I30" s="22">
        <f t="shared" si="0"/>
        <v>5.5587119999999999</v>
      </c>
      <c r="J30" s="23">
        <f t="shared" si="1"/>
        <v>6.4330410887088726E-2</v>
      </c>
      <c r="K30" s="23">
        <f t="shared" si="2"/>
        <v>3.925073581936557E-2</v>
      </c>
      <c r="L30" s="23">
        <f t="shared" si="3"/>
        <v>2.4363358929692037E-2</v>
      </c>
      <c r="M30" s="23">
        <f t="shared" si="4"/>
        <v>2.5079675067723156E-2</v>
      </c>
      <c r="N30" s="20">
        <f t="shared" si="5"/>
        <v>1130536</v>
      </c>
      <c r="O30" s="23">
        <f t="shared" si="6"/>
        <v>7.0629934250149504E-2</v>
      </c>
      <c r="P30" s="24">
        <v>26233976</v>
      </c>
      <c r="Q30" s="24">
        <v>2623397.6</v>
      </c>
      <c r="R30" s="24">
        <v>32601.9</v>
      </c>
      <c r="S30" s="25">
        <v>1852904</v>
      </c>
      <c r="T30" s="25">
        <v>701736</v>
      </c>
      <c r="U30" s="25">
        <v>428800</v>
      </c>
      <c r="V30" s="25">
        <v>722368</v>
      </c>
      <c r="W30" s="26">
        <v>73.498850000000004</v>
      </c>
      <c r="X30" s="26">
        <v>75.695869999999999</v>
      </c>
      <c r="Y30" s="26">
        <v>34.604100000000003</v>
      </c>
      <c r="Z30" s="26">
        <v>41.861669999999997</v>
      </c>
      <c r="AA30" s="26">
        <v>43.705380000000012</v>
      </c>
      <c r="AB30" s="27">
        <v>1019.2</v>
      </c>
      <c r="AC30" s="27">
        <v>1342.5</v>
      </c>
      <c r="AD30" s="27">
        <v>10.988</v>
      </c>
      <c r="AE30" s="27">
        <v>7.7</v>
      </c>
      <c r="AG30" s="22">
        <f t="shared" si="7"/>
        <v>6.0824400000000001</v>
      </c>
      <c r="AH30" s="23">
        <f t="shared" si="8"/>
        <v>7.0391461978253939E-2</v>
      </c>
      <c r="AI30" s="23">
        <f t="shared" si="9"/>
        <v>4.2987023019363482E-2</v>
      </c>
      <c r="AJ30" s="23">
        <f t="shared" si="10"/>
        <v>2.6166231381014253E-2</v>
      </c>
      <c r="AK30" s="23">
        <f t="shared" si="11"/>
        <v>2.740443895889046E-2</v>
      </c>
      <c r="AL30" s="20">
        <f t="shared" si="12"/>
        <v>1238152</v>
      </c>
      <c r="AM30" s="23">
        <f t="shared" si="13"/>
        <v>7.7284510742862619E-2</v>
      </c>
      <c r="AN30" s="24">
        <v>26233976</v>
      </c>
      <c r="AO30" s="24">
        <v>2623397.6</v>
      </c>
      <c r="AP30" s="24">
        <v>32601.9</v>
      </c>
      <c r="AQ30" s="25">
        <v>2027480</v>
      </c>
      <c r="AR30" s="25">
        <v>753664</v>
      </c>
      <c r="AS30" s="25">
        <v>484488</v>
      </c>
      <c r="AT30" s="25">
        <v>789328</v>
      </c>
      <c r="AU30" s="26">
        <v>73.467519999999993</v>
      </c>
      <c r="AV30" s="26">
        <v>75.330459999999903</v>
      </c>
      <c r="AW30" s="26">
        <v>34.546279999999904</v>
      </c>
      <c r="AX30" s="26">
        <v>41.723520000000001</v>
      </c>
      <c r="AY30" s="26">
        <v>43.987879999999997</v>
      </c>
      <c r="AZ30" s="27">
        <v>930.29</v>
      </c>
      <c r="BA30" s="27">
        <v>1722.99</v>
      </c>
      <c r="BB30" s="27">
        <v>8.7080000000000002</v>
      </c>
      <c r="BC30" s="27">
        <v>28.523</v>
      </c>
      <c r="BE30" s="28">
        <f t="shared" si="14"/>
        <v>1.0951902460425851</v>
      </c>
      <c r="BF30" s="29">
        <f t="shared" si="15"/>
        <v>0</v>
      </c>
      <c r="BG30" s="29">
        <f t="shared" si="16"/>
        <v>5.4240427314622419E-4</v>
      </c>
      <c r="BH30" s="29">
        <f t="array" ref="BH30">AVERAGE(AL30:AL34/AQ30:AQ34) - AVERAGE(N30:N34/S30:S34)</f>
        <v>8.4620360115494342E-3</v>
      </c>
      <c r="BJ30" s="28">
        <f>IF( OR(ISBLANK(N30:N34),ISBLANK(AL30:AL34), ISBLANK(W30:W34),ISBLANK(AU30:AU34)), "·", bdRateExtend( N30:N34,W30:W34, AL30:AL34,AU30:AU34))</f>
        <v>8.7495322924038943E-2</v>
      </c>
      <c r="BK30" s="28">
        <f>IF( OR(ISBLANK(N30:N34),ISBLANK(AL30:AL34), ISBLANK(X30:X34),ISBLANK(AV30:AV34)), "·", bdRateExtend( N30:N34,X30:X34, AL30:AL34,AV30:AV34))</f>
        <v>9.6148573907334667E-2</v>
      </c>
      <c r="BL30" s="28">
        <f>IF( OR(ISBLANK(V30:V34),ISBLANK(AT30:AT34), ISBLANK(Y30:Y34),ISBLANK(AW30:AW34)), "·", bdRateExtend( V30:V34,Y30:Y34, AT30:AT34,AW30:AW34))</f>
        <v>4.3023306737544731E-2</v>
      </c>
      <c r="BM30" s="28">
        <f>IF( OR(ISBLANK(V30:V34),ISBLANK(AT30:AT34), ISBLANK(Z30:Z34),ISBLANK(AX30:AX34)), "·", bdRateExtend( V30:V34,Z30:Z34, AT30:AT34,AX30:AX34))</f>
        <v>5.8964967647169964E-2</v>
      </c>
      <c r="BN30" s="28">
        <f>IF( OR(ISBLANK(V30:V34),ISBLANK(AT30:AT34), ISBLANK(AA30:AA34),ISBLANK(AY30:AY34)), "·", bdRateExtend( V30:V34,AA30:AA34, AT30:AT34,AY30:AY34))</f>
        <v>-1.6519913469645209E-2</v>
      </c>
      <c r="BP30" s="28">
        <f>IF( OR(ISBLANK(S30:S34),ISBLANK(AQ30:AQ34), ISBLANK(W30:W34),ISBLANK(AU30:AU34)), "·", bdRateExtend( S30:S34,W30:W34, AQ30:AQ34,AU30:AU34))</f>
        <v>7.0599805673448923E-2</v>
      </c>
      <c r="BQ30" s="28">
        <f>IF( OR(ISBLANK(S30:S34),ISBLANK(AQ30:AQ34), ISBLANK(X30:X34),ISBLANK(AV30:AV34)), "·", bdRateExtend( S30:S34,X30:X34, AQ30:AQ34,AV30:AV34))</f>
        <v>8.4887915880891063E-2</v>
      </c>
      <c r="BR30" s="28">
        <f>IF( OR(ISBLANK(S30:S34),ISBLANK(AQ30:AQ34), ISBLANK(Y30:Y34),ISBLANK(AW30:AW34)), "·", bdRateExtend( S30:S34,Y30:Y34, AQ30:AQ34,AW30:AW34))</f>
        <v>5.6635947201294723E-2</v>
      </c>
      <c r="BS30" s="28">
        <f>IF( OR(ISBLANK(S30:S34),ISBLANK(AQ30:AQ34), ISBLANK(Z30:Z34),ISBLANK(AX30:AX34)), "·", bdRateExtend( S30:S34,Z30:Z34, AQ30:AQ34,AX30:AX34))</f>
        <v>6.6504754128956289E-2</v>
      </c>
      <c r="BT30" s="28">
        <f>IF( OR(ISBLANK(S30:S34),ISBLANK(AQ30:AQ34), ISBLANK(AA30:AA34),ISBLANK(AY30:AY34)), "·", bdRateExtend( S30:S34,AA30:AA34, AQ30:AQ34,AY30:AY34))</f>
        <v>1.6284958800473426E-2</v>
      </c>
      <c r="BV30">
        <f t="shared" si="17"/>
        <v>0</v>
      </c>
      <c r="BW30">
        <f t="shared" si="18"/>
        <v>0</v>
      </c>
      <c r="BX30">
        <f t="shared" si="19"/>
        <v>0</v>
      </c>
      <c r="BY30">
        <f t="shared" si="20"/>
        <v>174576</v>
      </c>
      <c r="BZ30">
        <f t="shared" si="21"/>
        <v>51928</v>
      </c>
      <c r="CA30">
        <f t="shared" si="22"/>
        <v>55688</v>
      </c>
      <c r="CB30">
        <f t="shared" si="23"/>
        <v>66960</v>
      </c>
      <c r="CC30">
        <f t="shared" si="24"/>
        <v>-3.1330000000011182E-2</v>
      </c>
      <c r="CD30">
        <f t="shared" si="25"/>
        <v>-0.3654100000000966</v>
      </c>
      <c r="CE30">
        <f t="shared" si="26"/>
        <v>-5.7820000000099014E-2</v>
      </c>
      <c r="CF30">
        <f t="shared" si="27"/>
        <v>-0.138149999999996</v>
      </c>
      <c r="CG30">
        <f t="shared" si="28"/>
        <v>0.28249999999998465</v>
      </c>
      <c r="CJ30" t="s">
        <v>249</v>
      </c>
    </row>
    <row r="31" spans="1:88" outlineLevel="1" x14ac:dyDescent="0.25">
      <c r="A31" s="10"/>
      <c r="B31" s="10" t="s">
        <v>77</v>
      </c>
      <c r="C31" s="11" t="s">
        <v>240</v>
      </c>
      <c r="D31" s="10">
        <v>28802925</v>
      </c>
      <c r="E31" s="11">
        <v>11</v>
      </c>
      <c r="F31" s="11">
        <v>10</v>
      </c>
      <c r="G31" s="11">
        <v>30</v>
      </c>
      <c r="I31" s="12">
        <f t="shared" si="0"/>
        <v>8.0679119999999998</v>
      </c>
      <c r="J31" s="13">
        <f t="shared" si="1"/>
        <v>9.3369128309017224E-2</v>
      </c>
      <c r="K31" s="13">
        <f t="shared" si="2"/>
        <v>4.837175391041014E-2</v>
      </c>
      <c r="L31" s="13">
        <f t="shared" si="3"/>
        <v>3.348437702073661E-2</v>
      </c>
      <c r="M31" s="13">
        <f t="shared" si="4"/>
        <v>4.4997374398607085E-2</v>
      </c>
      <c r="N31" s="10">
        <f t="shared" si="5"/>
        <v>1393248</v>
      </c>
      <c r="O31" s="13">
        <f t="shared" si="6"/>
        <v>9.6407763113074557E-2</v>
      </c>
      <c r="P31" s="14">
        <v>27895098</v>
      </c>
      <c r="Q31" s="14">
        <v>2789509.8</v>
      </c>
      <c r="R31" s="14">
        <v>41019.800000000003</v>
      </c>
      <c r="S31" s="15">
        <v>2689304</v>
      </c>
      <c r="T31" s="15">
        <v>964448</v>
      </c>
      <c r="U31" s="15">
        <v>428800</v>
      </c>
      <c r="V31" s="15">
        <v>1296056</v>
      </c>
      <c r="W31" s="16">
        <v>75.185659999999999</v>
      </c>
      <c r="X31" s="16">
        <v>77.550949999999986</v>
      </c>
      <c r="Y31" s="16">
        <v>36.488900000000001</v>
      </c>
      <c r="Z31" s="16">
        <v>42.379850000000012</v>
      </c>
      <c r="AA31" s="16">
        <v>44.839759999999998</v>
      </c>
      <c r="AB31" s="17">
        <v>981.82799999999997</v>
      </c>
      <c r="AC31" s="17">
        <v>1232.69</v>
      </c>
      <c r="AD31" s="17">
        <v>11.068</v>
      </c>
      <c r="AE31" s="17">
        <v>8.1639999999999997</v>
      </c>
      <c r="AG31" s="12">
        <f t="shared" si="7"/>
        <v>8.6616959999999992</v>
      </c>
      <c r="AH31" s="13">
        <f t="shared" si="8"/>
        <v>0.10024093039161822</v>
      </c>
      <c r="AI31" s="13">
        <f t="shared" si="9"/>
        <v>5.2523276715819661E-2</v>
      </c>
      <c r="AJ31" s="13">
        <f t="shared" si="10"/>
        <v>3.5702485077470432E-2</v>
      </c>
      <c r="AK31" s="13">
        <f t="shared" si="11"/>
        <v>4.7717653675798555E-2</v>
      </c>
      <c r="AL31" s="10">
        <f t="shared" si="12"/>
        <v>1512824</v>
      </c>
      <c r="AM31" s="13">
        <f t="shared" si="13"/>
        <v>0.10350320332267698</v>
      </c>
      <c r="AN31" s="14">
        <v>27895098</v>
      </c>
      <c r="AO31" s="14">
        <v>2789509.8</v>
      </c>
      <c r="AP31" s="14">
        <v>41019.800000000003</v>
      </c>
      <c r="AQ31" s="15">
        <v>2887232</v>
      </c>
      <c r="AR31" s="15">
        <v>1028336</v>
      </c>
      <c r="AS31" s="15">
        <v>484488</v>
      </c>
      <c r="AT31" s="15">
        <v>1374408</v>
      </c>
      <c r="AU31" s="16">
        <v>75.159260000000003</v>
      </c>
      <c r="AV31" s="16">
        <v>77.390549999999905</v>
      </c>
      <c r="AW31" s="16">
        <v>36.472769999999898</v>
      </c>
      <c r="AX31" s="16">
        <v>42.337959999999903</v>
      </c>
      <c r="AY31" s="16">
        <v>45.111690000000003</v>
      </c>
      <c r="AZ31" s="17">
        <v>938.46699999999998</v>
      </c>
      <c r="BA31" s="17">
        <v>1772.52</v>
      </c>
      <c r="BB31" s="17">
        <v>8.9350000000000005</v>
      </c>
      <c r="BC31" s="17">
        <v>28.891999999999999</v>
      </c>
      <c r="BE31" s="18">
        <f t="shared" si="14"/>
        <v>1.0858253519832795</v>
      </c>
      <c r="BF31" s="19">
        <f t="shared" si="15"/>
        <v>0</v>
      </c>
      <c r="BG31" s="19">
        <f t="shared" si="16"/>
        <v>5.9002604133990832E-3</v>
      </c>
      <c r="BH31" s="19"/>
      <c r="BJ31" s="18"/>
      <c r="BK31" s="18"/>
      <c r="BL31" s="18"/>
      <c r="BM31" s="18"/>
      <c r="BN31" s="18"/>
      <c r="BP31" s="18"/>
      <c r="BQ31" s="18"/>
      <c r="BR31" s="18"/>
      <c r="BS31" s="18"/>
      <c r="BT31" s="18"/>
      <c r="BV31">
        <f t="shared" si="17"/>
        <v>0</v>
      </c>
      <c r="BW31">
        <f t="shared" si="18"/>
        <v>0</v>
      </c>
      <c r="BX31">
        <f t="shared" si="19"/>
        <v>0</v>
      </c>
      <c r="BY31">
        <f t="shared" si="20"/>
        <v>197928</v>
      </c>
      <c r="BZ31">
        <f t="shared" si="21"/>
        <v>63888</v>
      </c>
      <c r="CA31">
        <f t="shared" si="22"/>
        <v>55688</v>
      </c>
      <c r="CB31">
        <f t="shared" si="23"/>
        <v>78352</v>
      </c>
      <c r="CC31">
        <f t="shared" si="24"/>
        <v>-2.6399999999995316E-2</v>
      </c>
      <c r="CD31">
        <f t="shared" si="25"/>
        <v>-0.16040000000008092</v>
      </c>
      <c r="CE31">
        <f t="shared" si="26"/>
        <v>-1.613000000010345E-2</v>
      </c>
      <c r="CF31">
        <f t="shared" si="27"/>
        <v>-4.1890000000108785E-2</v>
      </c>
      <c r="CG31">
        <f t="shared" si="28"/>
        <v>0.27193000000000467</v>
      </c>
      <c r="CJ31" t="s">
        <v>249</v>
      </c>
    </row>
    <row r="32" spans="1:88" outlineLevel="1" x14ac:dyDescent="0.25">
      <c r="A32" s="20"/>
      <c r="B32" s="20" t="s">
        <v>77</v>
      </c>
      <c r="C32" s="21" t="s">
        <v>241</v>
      </c>
      <c r="D32" s="20">
        <v>28802925</v>
      </c>
      <c r="E32" s="21">
        <v>11</v>
      </c>
      <c r="F32" s="21">
        <v>10</v>
      </c>
      <c r="G32" s="21">
        <v>30</v>
      </c>
      <c r="I32" s="22">
        <f t="shared" si="0"/>
        <v>12.811776</v>
      </c>
      <c r="J32" s="23">
        <f t="shared" si="1"/>
        <v>0.14826938583494559</v>
      </c>
      <c r="K32" s="23">
        <f t="shared" si="2"/>
        <v>6.1580967905169356E-2</v>
      </c>
      <c r="L32" s="23">
        <f t="shared" si="3"/>
        <v>4.6693591015495819E-2</v>
      </c>
      <c r="M32" s="23">
        <f t="shared" si="4"/>
        <v>8.6688417929776232E-2</v>
      </c>
      <c r="N32" s="20">
        <f t="shared" si="5"/>
        <v>1773712</v>
      </c>
      <c r="O32" s="23">
        <f t="shared" si="6"/>
        <v>0.14998486135540759</v>
      </c>
      <c r="P32" s="24">
        <v>28473487</v>
      </c>
      <c r="Q32" s="24">
        <v>2847348.7</v>
      </c>
      <c r="R32" s="24">
        <v>44272.3</v>
      </c>
      <c r="S32" s="25">
        <v>4270592</v>
      </c>
      <c r="T32" s="25">
        <v>1344912</v>
      </c>
      <c r="U32" s="25">
        <v>428800</v>
      </c>
      <c r="V32" s="25">
        <v>2496880</v>
      </c>
      <c r="W32" s="26">
        <v>76.464469999999992</v>
      </c>
      <c r="X32" s="26">
        <v>79.091259999999991</v>
      </c>
      <c r="Y32" s="26">
        <v>38.221110000000003</v>
      </c>
      <c r="Z32" s="26">
        <v>42.869150000000012</v>
      </c>
      <c r="AA32" s="26">
        <v>45.896780000000007</v>
      </c>
      <c r="AB32" s="27">
        <v>979.94799999999998</v>
      </c>
      <c r="AC32" s="27">
        <v>1293.0999999999999</v>
      </c>
      <c r="AD32" s="27">
        <v>11.295999999999999</v>
      </c>
      <c r="AE32" s="27">
        <v>8.6159999999999997</v>
      </c>
      <c r="AG32" s="22">
        <f t="shared" si="7"/>
        <v>13.359648</v>
      </c>
      <c r="AH32" s="23">
        <f t="shared" si="8"/>
        <v>0.15460985299236102</v>
      </c>
      <c r="AI32" s="23">
        <f t="shared" si="9"/>
        <v>6.6231328936210476E-2</v>
      </c>
      <c r="AJ32" s="23">
        <f t="shared" si="10"/>
        <v>4.941053729786124E-2</v>
      </c>
      <c r="AK32" s="23">
        <f t="shared" si="11"/>
        <v>8.8378524056150543E-2</v>
      </c>
      <c r="AL32" s="20">
        <f t="shared" si="12"/>
        <v>1907656</v>
      </c>
      <c r="AM32" s="23">
        <f t="shared" si="13"/>
        <v>0.15639868766336909</v>
      </c>
      <c r="AN32" s="24">
        <v>28473487</v>
      </c>
      <c r="AO32" s="24">
        <v>2847348.7</v>
      </c>
      <c r="AP32" s="24">
        <v>44272.3</v>
      </c>
      <c r="AQ32" s="25">
        <v>4453216</v>
      </c>
      <c r="AR32" s="25">
        <v>1423168</v>
      </c>
      <c r="AS32" s="25">
        <v>484488</v>
      </c>
      <c r="AT32" s="25">
        <v>2545560</v>
      </c>
      <c r="AU32" s="26">
        <v>76.435739999999996</v>
      </c>
      <c r="AV32" s="26">
        <v>79.065749999999994</v>
      </c>
      <c r="AW32" s="26">
        <v>38.190019999999997</v>
      </c>
      <c r="AX32" s="26">
        <v>42.853630000000003</v>
      </c>
      <c r="AY32" s="26">
        <v>46.001550000000002</v>
      </c>
      <c r="AZ32" s="27">
        <v>948.59299999999996</v>
      </c>
      <c r="BA32" s="27">
        <v>1863.17</v>
      </c>
      <c r="BB32" s="27">
        <v>9.2550000000000008</v>
      </c>
      <c r="BC32" s="27">
        <v>30.273</v>
      </c>
      <c r="BE32" s="28">
        <f t="shared" si="14"/>
        <v>1.0755162055621206</v>
      </c>
      <c r="BF32" s="29">
        <f t="shared" si="15"/>
        <v>0</v>
      </c>
      <c r="BG32" s="29">
        <f t="shared" si="16"/>
        <v>1.3045509960489365E-2</v>
      </c>
      <c r="BH32" s="29"/>
      <c r="BJ32" s="28"/>
      <c r="BK32" s="28"/>
      <c r="BL32" s="28"/>
      <c r="BM32" s="28"/>
      <c r="BN32" s="28"/>
      <c r="BP32" s="28"/>
      <c r="BQ32" s="28"/>
      <c r="BR32" s="28"/>
      <c r="BS32" s="28"/>
      <c r="BT32" s="28"/>
      <c r="BV32">
        <f t="shared" si="17"/>
        <v>0</v>
      </c>
      <c r="BW32">
        <f t="shared" si="18"/>
        <v>0</v>
      </c>
      <c r="BX32">
        <f t="shared" si="19"/>
        <v>0</v>
      </c>
      <c r="BY32">
        <f t="shared" si="20"/>
        <v>182624</v>
      </c>
      <c r="BZ32">
        <f t="shared" si="21"/>
        <v>78256</v>
      </c>
      <c r="CA32">
        <f t="shared" si="22"/>
        <v>55688</v>
      </c>
      <c r="CB32">
        <f t="shared" si="23"/>
        <v>48680</v>
      </c>
      <c r="CC32">
        <f t="shared" si="24"/>
        <v>-2.8729999999995925E-2</v>
      </c>
      <c r="CD32">
        <f t="shared" si="25"/>
        <v>-2.5509999999997035E-2</v>
      </c>
      <c r="CE32">
        <f t="shared" si="26"/>
        <v>-3.1090000000006057E-2</v>
      </c>
      <c r="CF32">
        <f t="shared" si="27"/>
        <v>-1.5520000000009304E-2</v>
      </c>
      <c r="CG32">
        <f t="shared" si="28"/>
        <v>0.10476999999999492</v>
      </c>
      <c r="CJ32" t="s">
        <v>249</v>
      </c>
    </row>
    <row r="33" spans="1:88" outlineLevel="1" x14ac:dyDescent="0.25">
      <c r="A33" s="10"/>
      <c r="B33" s="10" t="s">
        <v>77</v>
      </c>
      <c r="C33" s="11" t="s">
        <v>242</v>
      </c>
      <c r="D33" s="10">
        <v>28802925</v>
      </c>
      <c r="E33" s="11">
        <v>11</v>
      </c>
      <c r="F33" s="11">
        <v>10</v>
      </c>
      <c r="G33" s="11">
        <v>30</v>
      </c>
      <c r="I33" s="12">
        <f t="shared" si="0"/>
        <v>21.84036</v>
      </c>
      <c r="J33" s="13">
        <f t="shared" si="1"/>
        <v>0.25275627388537797</v>
      </c>
      <c r="K33" s="13">
        <f t="shared" si="2"/>
        <v>8.3529294333822002E-2</v>
      </c>
      <c r="L33" s="13">
        <f t="shared" si="3"/>
        <v>6.8641917444148465E-2</v>
      </c>
      <c r="M33" s="13">
        <f t="shared" si="4"/>
        <v>0.16922697955155597</v>
      </c>
      <c r="N33" s="10">
        <f t="shared" si="5"/>
        <v>2405888</v>
      </c>
      <c r="O33" s="13">
        <f t="shared" si="6"/>
        <v>0.24942424377391847</v>
      </c>
      <c r="P33" s="14">
        <v>29187700</v>
      </c>
      <c r="Q33" s="14">
        <v>2918770</v>
      </c>
      <c r="R33" s="14">
        <v>49192.3</v>
      </c>
      <c r="S33" s="15">
        <v>7280120</v>
      </c>
      <c r="T33" s="15">
        <v>1977088</v>
      </c>
      <c r="U33" s="15">
        <v>428800</v>
      </c>
      <c r="V33" s="15">
        <v>4874232</v>
      </c>
      <c r="W33" s="16">
        <v>77.600809999999996</v>
      </c>
      <c r="X33" s="16">
        <v>80.309699999999978</v>
      </c>
      <c r="Y33" s="16">
        <v>39.809379999999997</v>
      </c>
      <c r="Z33" s="16">
        <v>43.570350000000012</v>
      </c>
      <c r="AA33" s="16">
        <v>47.700460000000007</v>
      </c>
      <c r="AB33" s="17">
        <v>979.428</v>
      </c>
      <c r="AC33" s="17">
        <v>1365.08</v>
      </c>
      <c r="AD33" s="17">
        <v>12.164</v>
      </c>
      <c r="AE33" s="17">
        <v>9.5560000000000009</v>
      </c>
      <c r="AG33" s="12">
        <f t="shared" si="7"/>
        <v>22.472448</v>
      </c>
      <c r="AH33" s="13">
        <f t="shared" si="8"/>
        <v>0.26007136427984312</v>
      </c>
      <c r="AI33" s="13">
        <f t="shared" si="9"/>
        <v>8.8836255345594237E-2</v>
      </c>
      <c r="AJ33" s="13">
        <f t="shared" si="10"/>
        <v>7.2015463707245014E-2</v>
      </c>
      <c r="AK33" s="13">
        <f t="shared" si="11"/>
        <v>0.17123510893424887</v>
      </c>
      <c r="AL33" s="10">
        <f t="shared" si="12"/>
        <v>2558744</v>
      </c>
      <c r="AM33" s="13">
        <f t="shared" si="13"/>
        <v>0.25664290094800207</v>
      </c>
      <c r="AN33" s="14">
        <v>29187700</v>
      </c>
      <c r="AO33" s="14">
        <v>2918770</v>
      </c>
      <c r="AP33" s="14">
        <v>49192.3</v>
      </c>
      <c r="AQ33" s="15">
        <v>7490816</v>
      </c>
      <c r="AR33" s="15">
        <v>2074256</v>
      </c>
      <c r="AS33" s="15">
        <v>484488</v>
      </c>
      <c r="AT33" s="15">
        <v>4932072</v>
      </c>
      <c r="AU33" s="16">
        <v>77.540520000000001</v>
      </c>
      <c r="AV33" s="16">
        <v>80.221819999999994</v>
      </c>
      <c r="AW33" s="16">
        <v>39.801009999999998</v>
      </c>
      <c r="AX33" s="16">
        <v>43.55744</v>
      </c>
      <c r="AY33" s="16">
        <v>47.618760000000002</v>
      </c>
      <c r="AZ33" s="17">
        <v>933.74400000000003</v>
      </c>
      <c r="BA33" s="17">
        <v>1930.49</v>
      </c>
      <c r="BB33" s="17">
        <v>9.1259999999999994</v>
      </c>
      <c r="BC33" s="17">
        <v>30.12</v>
      </c>
      <c r="BE33" s="18">
        <f t="shared" si="14"/>
        <v>1.0635341296020429</v>
      </c>
      <c r="BF33" s="19">
        <f t="shared" si="15"/>
        <v>0</v>
      </c>
      <c r="BG33" s="19">
        <f t="shared" si="16"/>
        <v>1.1110474330961073E-2</v>
      </c>
      <c r="BH33" s="19"/>
      <c r="BJ33" s="18"/>
      <c r="BK33" s="18"/>
      <c r="BL33" s="18"/>
      <c r="BM33" s="18"/>
      <c r="BN33" s="18"/>
      <c r="BP33" s="18"/>
      <c r="BQ33" s="18"/>
      <c r="BR33" s="18"/>
      <c r="BS33" s="18"/>
      <c r="BT33" s="18"/>
      <c r="BV33">
        <f t="shared" si="17"/>
        <v>0</v>
      </c>
      <c r="BW33">
        <f t="shared" si="18"/>
        <v>0</v>
      </c>
      <c r="BX33">
        <f t="shared" si="19"/>
        <v>0</v>
      </c>
      <c r="BY33">
        <f t="shared" si="20"/>
        <v>210696</v>
      </c>
      <c r="BZ33">
        <f t="shared" si="21"/>
        <v>97168</v>
      </c>
      <c r="CA33">
        <f t="shared" si="22"/>
        <v>55688</v>
      </c>
      <c r="CB33">
        <f t="shared" si="23"/>
        <v>57840</v>
      </c>
      <c r="CC33">
        <f t="shared" si="24"/>
        <v>-6.0289999999994848E-2</v>
      </c>
      <c r="CD33">
        <f t="shared" si="25"/>
        <v>-8.7879999999984193E-2</v>
      </c>
      <c r="CE33">
        <f t="shared" si="26"/>
        <v>-8.3699999999993224E-3</v>
      </c>
      <c r="CF33">
        <f t="shared" si="27"/>
        <v>-1.291000000001219E-2</v>
      </c>
      <c r="CG33">
        <f t="shared" si="28"/>
        <v>-8.1700000000004991E-2</v>
      </c>
      <c r="CJ33" t="s">
        <v>249</v>
      </c>
    </row>
    <row r="34" spans="1:88" ht="15.75" customHeight="1" outlineLevel="1" thickBot="1" x14ac:dyDescent="0.3">
      <c r="A34" s="20"/>
      <c r="B34" s="40" t="s">
        <v>77</v>
      </c>
      <c r="C34" s="41" t="s">
        <v>243</v>
      </c>
      <c r="D34" s="40">
        <v>28802925</v>
      </c>
      <c r="E34" s="41">
        <v>11</v>
      </c>
      <c r="F34" s="41">
        <v>10</v>
      </c>
      <c r="G34" s="41">
        <v>30</v>
      </c>
      <c r="I34" s="42">
        <f t="shared" si="0"/>
        <v>41.543880000000001</v>
      </c>
      <c r="J34" s="43">
        <f t="shared" si="1"/>
        <v>0.48078311490933645</v>
      </c>
      <c r="K34" s="43">
        <f t="shared" si="2"/>
        <v>0.13354032619950926</v>
      </c>
      <c r="L34" s="43">
        <f t="shared" si="3"/>
        <v>0.10411831437258542</v>
      </c>
      <c r="M34" s="43">
        <f t="shared" si="4"/>
        <v>0.34724278870982722</v>
      </c>
      <c r="N34" s="40">
        <f t="shared" si="5"/>
        <v>3846352</v>
      </c>
      <c r="O34" s="43">
        <f t="shared" si="6"/>
        <v>0.48450906543291439</v>
      </c>
      <c r="P34" s="44">
        <v>28581426</v>
      </c>
      <c r="Q34" s="44">
        <v>2858142.6</v>
      </c>
      <c r="R34" s="44">
        <v>21414.1</v>
      </c>
      <c r="S34" s="45">
        <v>13847960</v>
      </c>
      <c r="T34" s="45">
        <v>2998912</v>
      </c>
      <c r="U34" s="45">
        <v>847440</v>
      </c>
      <c r="V34" s="45">
        <v>10001608</v>
      </c>
      <c r="W34" s="46">
        <v>78.559209999999993</v>
      </c>
      <c r="X34" s="46">
        <v>81.999890000000008</v>
      </c>
      <c r="Y34" s="46">
        <v>41.315570000000001</v>
      </c>
      <c r="Z34" s="46">
        <v>44.355879999999999</v>
      </c>
      <c r="AA34" s="46">
        <v>49.114930000000001</v>
      </c>
      <c r="AB34" s="47">
        <v>979.60399999999993</v>
      </c>
      <c r="AC34" s="47">
        <v>1527.34</v>
      </c>
      <c r="AD34" s="47">
        <v>11.212</v>
      </c>
      <c r="AE34" s="47">
        <v>10.368</v>
      </c>
      <c r="AG34" s="42">
        <f t="shared" si="7"/>
        <v>42.332976000000002</v>
      </c>
      <c r="AH34" s="43">
        <f t="shared" si="8"/>
        <v>0.48991524298313455</v>
      </c>
      <c r="AI34" s="43">
        <f t="shared" si="9"/>
        <v>0.14181448585516923</v>
      </c>
      <c r="AJ34" s="43">
        <f t="shared" si="10"/>
        <v>0.10961442284073579</v>
      </c>
      <c r="AK34" s="43">
        <f t="shared" si="11"/>
        <v>0.34810075712796529</v>
      </c>
      <c r="AL34" s="40">
        <f t="shared" si="12"/>
        <v>4084672</v>
      </c>
      <c r="AM34" s="43">
        <f t="shared" si="13"/>
        <v>0.49371196524624067</v>
      </c>
      <c r="AN34" s="44">
        <v>28581426</v>
      </c>
      <c r="AO34" s="44">
        <v>2858142.6</v>
      </c>
      <c r="AP34" s="44">
        <v>21414.1</v>
      </c>
      <c r="AQ34" s="45">
        <v>14110992</v>
      </c>
      <c r="AR34" s="45">
        <v>3157216</v>
      </c>
      <c r="AS34" s="45">
        <v>927456</v>
      </c>
      <c r="AT34" s="45">
        <v>10026320</v>
      </c>
      <c r="AU34" s="46">
        <v>78.544089999999997</v>
      </c>
      <c r="AV34" s="46">
        <v>81.961179999999999</v>
      </c>
      <c r="AW34" s="46">
        <v>41.333300000000001</v>
      </c>
      <c r="AX34" s="46">
        <v>44.346150000000002</v>
      </c>
      <c r="AY34" s="46">
        <v>49.103369999999998</v>
      </c>
      <c r="AZ34" s="47">
        <v>943.05899999999997</v>
      </c>
      <c r="BA34" s="47">
        <v>2116.9</v>
      </c>
      <c r="BB34" s="47">
        <v>9.2230000000000008</v>
      </c>
      <c r="BC34" s="47">
        <v>32.451999999999998</v>
      </c>
      <c r="BE34" s="48">
        <f t="shared" si="14"/>
        <v>1.061960007820397</v>
      </c>
      <c r="BF34" s="49">
        <f t="shared" si="15"/>
        <v>0</v>
      </c>
      <c r="BG34" s="49">
        <f t="shared" si="16"/>
        <v>1.1711531079751369E-2</v>
      </c>
      <c r="BH34" s="49"/>
      <c r="BJ34" s="48"/>
      <c r="BK34" s="48"/>
      <c r="BL34" s="48"/>
      <c r="BM34" s="48"/>
      <c r="BN34" s="48"/>
      <c r="BP34" s="48"/>
      <c r="BQ34" s="48"/>
      <c r="BR34" s="48"/>
      <c r="BS34" s="48"/>
      <c r="BT34" s="48"/>
      <c r="BV34">
        <f t="shared" si="17"/>
        <v>0</v>
      </c>
      <c r="BW34">
        <f t="shared" si="18"/>
        <v>0</v>
      </c>
      <c r="BX34">
        <f t="shared" si="19"/>
        <v>0</v>
      </c>
      <c r="BY34">
        <f t="shared" si="20"/>
        <v>263032</v>
      </c>
      <c r="BZ34">
        <f t="shared" si="21"/>
        <v>158304</v>
      </c>
      <c r="CA34">
        <f t="shared" si="22"/>
        <v>80016</v>
      </c>
      <c r="CB34">
        <f t="shared" si="23"/>
        <v>24712</v>
      </c>
      <c r="CC34">
        <f t="shared" si="24"/>
        <v>-1.5119999999996026E-2</v>
      </c>
      <c r="CD34">
        <f t="shared" si="25"/>
        <v>-3.8710000000008904E-2</v>
      </c>
      <c r="CE34">
        <f t="shared" si="26"/>
        <v>1.7730000000000246E-2</v>
      </c>
      <c r="CF34">
        <f t="shared" si="27"/>
        <v>-9.7299999999975739E-3</v>
      </c>
      <c r="CG34">
        <f t="shared" si="28"/>
        <v>-1.1560000000002901E-2</v>
      </c>
      <c r="CJ34" t="s">
        <v>249</v>
      </c>
    </row>
    <row r="35" spans="1:88" x14ac:dyDescent="0.25">
      <c r="A35" s="10"/>
      <c r="B35" s="10" t="s">
        <v>82</v>
      </c>
      <c r="C35" s="11" t="s">
        <v>238</v>
      </c>
      <c r="D35" s="10">
        <v>25767032</v>
      </c>
      <c r="E35" s="11">
        <v>11</v>
      </c>
      <c r="F35" s="11">
        <v>10</v>
      </c>
      <c r="G35" s="11">
        <v>30</v>
      </c>
      <c r="I35" s="12">
        <f t="shared" si="0"/>
        <v>6.2222879999999998</v>
      </c>
      <c r="J35" s="13">
        <f t="shared" si="1"/>
        <v>8.0494175658259753E-2</v>
      </c>
      <c r="K35" s="13">
        <f t="shared" si="2"/>
        <v>4.6831315302437629E-2</v>
      </c>
      <c r="L35" s="13">
        <f t="shared" si="3"/>
        <v>2.849066978300023E-2</v>
      </c>
      <c r="M35" s="13">
        <f t="shared" si="4"/>
        <v>3.3662860355822125E-2</v>
      </c>
      <c r="N35" s="10">
        <f t="shared" si="5"/>
        <v>1206704</v>
      </c>
      <c r="O35" s="13">
        <f t="shared" si="6"/>
        <v>8.9438273005324517E-2</v>
      </c>
      <c r="P35" s="14">
        <v>23190251</v>
      </c>
      <c r="Q35" s="14">
        <v>2319025.1</v>
      </c>
      <c r="R35" s="14">
        <v>29855.8</v>
      </c>
      <c r="S35" s="15">
        <v>2074096</v>
      </c>
      <c r="T35" s="15">
        <v>734120</v>
      </c>
      <c r="U35" s="15">
        <v>472584</v>
      </c>
      <c r="V35" s="15">
        <v>867392</v>
      </c>
      <c r="W35" s="16">
        <v>73.189830000000001</v>
      </c>
      <c r="X35" s="16">
        <v>75.415949999999995</v>
      </c>
      <c r="Y35" s="16">
        <v>33.99736</v>
      </c>
      <c r="Z35" s="16">
        <v>42.542580000000001</v>
      </c>
      <c r="AA35" s="16">
        <v>43.977719999999998</v>
      </c>
      <c r="AB35" s="17">
        <v>903.96399999999994</v>
      </c>
      <c r="AC35" s="17">
        <v>1498.52</v>
      </c>
      <c r="AD35" s="17">
        <v>12.56</v>
      </c>
      <c r="AE35" s="17">
        <v>8.2919999999999998</v>
      </c>
      <c r="AG35" s="12">
        <f t="shared" si="7"/>
        <v>6.4351919999999998</v>
      </c>
      <c r="AH35" s="13">
        <f t="shared" si="8"/>
        <v>8.3248392752413233E-2</v>
      </c>
      <c r="AI35" s="13">
        <f t="shared" si="9"/>
        <v>4.8823318106641075E-2</v>
      </c>
      <c r="AJ35" s="13">
        <f t="shared" si="10"/>
        <v>2.9556527891920186E-2</v>
      </c>
      <c r="AK35" s="13">
        <f t="shared" si="11"/>
        <v>3.4425074645772165E-2</v>
      </c>
      <c r="AL35" s="10">
        <f t="shared" si="12"/>
        <v>1258032</v>
      </c>
      <c r="AM35" s="13">
        <f t="shared" si="13"/>
        <v>9.249852448772547E-2</v>
      </c>
      <c r="AN35" s="14">
        <v>23190251</v>
      </c>
      <c r="AO35" s="14">
        <v>2319025.1</v>
      </c>
      <c r="AP35" s="14">
        <v>29855.8</v>
      </c>
      <c r="AQ35" s="15">
        <v>2145064</v>
      </c>
      <c r="AR35" s="15">
        <v>761584</v>
      </c>
      <c r="AS35" s="15">
        <v>496448</v>
      </c>
      <c r="AT35" s="15">
        <v>887032</v>
      </c>
      <c r="AU35" s="16">
        <v>73.222409999999996</v>
      </c>
      <c r="AV35" s="16">
        <v>75.247669999999999</v>
      </c>
      <c r="AW35" s="16">
        <v>33.98404</v>
      </c>
      <c r="AX35" s="16">
        <v>42.502890000000001</v>
      </c>
      <c r="AY35" s="16">
        <v>44.394120000000001</v>
      </c>
      <c r="AZ35" s="17">
        <v>829.94799999999998</v>
      </c>
      <c r="BA35" s="17">
        <v>1752.24</v>
      </c>
      <c r="BB35" s="17">
        <v>7.9279999999999999</v>
      </c>
      <c r="BC35" s="17">
        <v>29.074999999999999</v>
      </c>
      <c r="BE35" s="18">
        <f t="shared" si="14"/>
        <v>1.042535700552911</v>
      </c>
      <c r="BF35" s="19">
        <f t="shared" si="15"/>
        <v>0</v>
      </c>
      <c r="BG35" s="19">
        <f t="shared" si="16"/>
        <v>4.680042408238716E-3</v>
      </c>
      <c r="BH35" s="19">
        <f t="array" ref="BH35">AVERAGE(AL35:AL39/AQ35:AQ39) - AVERAGE(N35:N39/S35:S39)</f>
        <v>1.0136285591199279E-2</v>
      </c>
      <c r="BJ35" s="18">
        <f>IF( OR(ISBLANK(N35:N39),ISBLANK(AL35:AL39), ISBLANK(W35:W39),ISBLANK(AU35:AU39)), "·", bdRateExtend( N35:N39,W35:W39, AL35:AL39,AU35:AU39))</f>
        <v>3.4234870054375088E-2</v>
      </c>
      <c r="BK35" s="18">
        <f>IF( OR(ISBLANK(N35:N39),ISBLANK(AL35:AL39), ISBLANK(X35:X39),ISBLANK(AV35:AV39)), "·", bdRateExtend( N35:N39,X35:X39, AL35:AL39,AV35:AV39))</f>
        <v>4.4526095691717726E-2</v>
      </c>
      <c r="BL35" s="18">
        <f>IF( OR(ISBLANK(V35:V39),ISBLANK(AT35:AT39), ISBLANK(Y35:Y39),ISBLANK(AW35:AW39)), "·", bdRateExtend( V35:V39,Y35:Y39, AT35:AT39,AW35:AW39))</f>
        <v>-1.1055956661278676E-2</v>
      </c>
      <c r="BM35" s="18">
        <f>IF( OR(ISBLANK(V35:V39),ISBLANK(AT35:AT39), ISBLANK(Z35:Z39),ISBLANK(AX35:AX39)), "·", bdRateExtend( V35:V39,Z35:Z39, AT35:AT39,AX35:AX39))</f>
        <v>-3.9610883861485036E-4</v>
      </c>
      <c r="BN35" s="18">
        <f>IF( OR(ISBLANK(V35:V39),ISBLANK(AT35:AT39), ISBLANK(AA35:AA39),ISBLANK(AY35:AY39)), "·", bdRateExtend( V35:V39,AA35:AA39, AT35:AT39,AY35:AY39))</f>
        <v>-3.502955354812276E-2</v>
      </c>
      <c r="BP35" s="18">
        <f>IF( OR(ISBLANK(S35:S39),ISBLANK(AQ35:AQ39), ISBLANK(W35:W39),ISBLANK(AU35:AU39)), "·", bdRateExtend( S35:S39,W35:W39, AQ35:AQ39,AU35:AU39))</f>
        <v>7.5758684768649776E-3</v>
      </c>
      <c r="BQ35" s="18">
        <f>IF( OR(ISBLANK(S35:S39),ISBLANK(AQ35:AQ39), ISBLANK(X35:X39),ISBLANK(AV35:AV39)), "·", bdRateExtend( S35:S39,X35:X39, AQ35:AQ39,AV35:AV39))</f>
        <v>2.260147565675763E-2</v>
      </c>
      <c r="BR35" s="18">
        <f>IF( OR(ISBLANK(S35:S39),ISBLANK(AQ35:AQ39), ISBLANK(Y35:Y39),ISBLANK(AW35:AW39)), "·", bdRateExtend( S35:S39,Y35:Y39, AQ35:AQ39,AW35:AW39))</f>
        <v>5.7805718322334609E-3</v>
      </c>
      <c r="BS35" s="18">
        <f>IF( OR(ISBLANK(S35:S39),ISBLANK(AQ35:AQ39), ISBLANK(Z35:Z39),ISBLANK(AX35:AX39)), "·", bdRateExtend( S35:S39,Z35:Z39, AQ35:AQ39,AX35:AX39))</f>
        <v>1.1377111925771732E-2</v>
      </c>
      <c r="BT35" s="18">
        <f>IF( OR(ISBLANK(S35:S39),ISBLANK(AQ35:AQ39), ISBLANK(AA35:AA39),ISBLANK(AY35:AY39)), "·", bdRateExtend( S35:S39,AA35:AA39, AQ35:AQ39,AY35:AY39))</f>
        <v>-1.1737931620855901E-2</v>
      </c>
      <c r="BV35">
        <f t="shared" si="17"/>
        <v>0</v>
      </c>
      <c r="BW35">
        <f t="shared" si="18"/>
        <v>0</v>
      </c>
      <c r="BX35">
        <f t="shared" si="19"/>
        <v>0</v>
      </c>
      <c r="BY35">
        <f t="shared" si="20"/>
        <v>70968</v>
      </c>
      <c r="BZ35">
        <f t="shared" si="21"/>
        <v>27464</v>
      </c>
      <c r="CA35">
        <f t="shared" si="22"/>
        <v>23864</v>
      </c>
      <c r="CB35">
        <f t="shared" si="23"/>
        <v>19640</v>
      </c>
      <c r="CC35">
        <f t="shared" si="24"/>
        <v>3.2579999999995835E-2</v>
      </c>
      <c r="CD35">
        <f t="shared" si="25"/>
        <v>-0.16827999999999577</v>
      </c>
      <c r="CE35">
        <f t="shared" si="26"/>
        <v>-1.3320000000000221E-2</v>
      </c>
      <c r="CF35">
        <f t="shared" si="27"/>
        <v>-3.9690000000000225E-2</v>
      </c>
      <c r="CG35">
        <f t="shared" si="28"/>
        <v>0.41640000000000299</v>
      </c>
      <c r="CJ35" t="s">
        <v>250</v>
      </c>
    </row>
    <row r="36" spans="1:88" outlineLevel="1" x14ac:dyDescent="0.25">
      <c r="A36" s="20"/>
      <c r="B36" s="20" t="s">
        <v>82</v>
      </c>
      <c r="C36" s="21" t="s">
        <v>240</v>
      </c>
      <c r="D36" s="20">
        <v>25767032</v>
      </c>
      <c r="E36" s="21">
        <v>11</v>
      </c>
      <c r="F36" s="21">
        <v>10</v>
      </c>
      <c r="G36" s="21">
        <v>30</v>
      </c>
      <c r="I36" s="22">
        <f t="shared" si="0"/>
        <v>8.8924800000000008</v>
      </c>
      <c r="J36" s="23">
        <f t="shared" si="1"/>
        <v>0.11503692004573907</v>
      </c>
      <c r="K36" s="23">
        <f t="shared" si="2"/>
        <v>5.7209227667354159E-2</v>
      </c>
      <c r="L36" s="23">
        <f t="shared" si="3"/>
        <v>3.8868582147916761E-2</v>
      </c>
      <c r="M36" s="23">
        <f t="shared" si="4"/>
        <v>5.7827692378384907E-2</v>
      </c>
      <c r="N36" s="20">
        <f t="shared" si="5"/>
        <v>1474112</v>
      </c>
      <c r="O36" s="23">
        <f t="shared" si="6"/>
        <v>0.11939459253054739</v>
      </c>
      <c r="P36" s="24">
        <v>24826585</v>
      </c>
      <c r="Q36" s="24">
        <v>2482658.5</v>
      </c>
      <c r="R36" s="24">
        <v>37903.699999999997</v>
      </c>
      <c r="S36" s="25">
        <v>2964160</v>
      </c>
      <c r="T36" s="25">
        <v>1001528</v>
      </c>
      <c r="U36" s="25">
        <v>472584</v>
      </c>
      <c r="V36" s="25">
        <v>1490048</v>
      </c>
      <c r="W36" s="26">
        <v>74.947789999999998</v>
      </c>
      <c r="X36" s="26">
        <v>77.356079999999977</v>
      </c>
      <c r="Y36" s="26">
        <v>36.088030000000003</v>
      </c>
      <c r="Z36" s="26">
        <v>43.268169999999998</v>
      </c>
      <c r="AA36" s="26">
        <v>45.397060000000003</v>
      </c>
      <c r="AB36" s="27">
        <v>908.10399999999993</v>
      </c>
      <c r="AC36" s="27">
        <v>1548.58</v>
      </c>
      <c r="AD36" s="27">
        <v>12.06</v>
      </c>
      <c r="AE36" s="27">
        <v>10.096</v>
      </c>
      <c r="AG36" s="22">
        <f t="shared" si="7"/>
        <v>9.1299840000000003</v>
      </c>
      <c r="AH36" s="23">
        <f t="shared" si="8"/>
        <v>0.11810937324873116</v>
      </c>
      <c r="AI36" s="23">
        <f t="shared" si="9"/>
        <v>5.9412663437527456E-2</v>
      </c>
      <c r="AJ36" s="23">
        <f t="shared" si="10"/>
        <v>4.014587322280657E-2</v>
      </c>
      <c r="AK36" s="23">
        <f t="shared" si="11"/>
        <v>5.8696709811203715E-2</v>
      </c>
      <c r="AL36" s="20">
        <f t="shared" si="12"/>
        <v>1530888</v>
      </c>
      <c r="AM36" s="23">
        <f t="shared" si="13"/>
        <v>0.12258343223604858</v>
      </c>
      <c r="AN36" s="24">
        <v>24826585</v>
      </c>
      <c r="AO36" s="24">
        <v>2482658.5</v>
      </c>
      <c r="AP36" s="24">
        <v>37903.699999999997</v>
      </c>
      <c r="AQ36" s="25">
        <v>3043328</v>
      </c>
      <c r="AR36" s="25">
        <v>1034440</v>
      </c>
      <c r="AS36" s="25">
        <v>496448</v>
      </c>
      <c r="AT36" s="25">
        <v>1512440</v>
      </c>
      <c r="AU36" s="26">
        <v>74.947590000000005</v>
      </c>
      <c r="AV36" s="26">
        <v>77.264579999999995</v>
      </c>
      <c r="AW36" s="26">
        <v>36.080390000000001</v>
      </c>
      <c r="AX36" s="26">
        <v>43.168030000000002</v>
      </c>
      <c r="AY36" s="26">
        <v>45.388060000000003</v>
      </c>
      <c r="AZ36" s="27">
        <v>830.04700000000003</v>
      </c>
      <c r="BA36" s="27">
        <v>1809.96</v>
      </c>
      <c r="BB36" s="27">
        <v>8.2149999999999999</v>
      </c>
      <c r="BC36" s="27">
        <v>29.626999999999999</v>
      </c>
      <c r="BE36" s="28">
        <f t="shared" si="14"/>
        <v>1.0385153909607954</v>
      </c>
      <c r="BF36" s="29">
        <f t="shared" si="15"/>
        <v>0</v>
      </c>
      <c r="BG36" s="29">
        <f t="shared" si="16"/>
        <v>5.7190064985784828E-3</v>
      </c>
      <c r="BH36" s="29"/>
      <c r="BJ36" s="28"/>
      <c r="BK36" s="28"/>
      <c r="BL36" s="28"/>
      <c r="BM36" s="28"/>
      <c r="BN36" s="28"/>
      <c r="BP36" s="28"/>
      <c r="BQ36" s="28"/>
      <c r="BR36" s="28"/>
      <c r="BS36" s="28"/>
      <c r="BT36" s="28"/>
      <c r="BV36">
        <f t="shared" si="17"/>
        <v>0</v>
      </c>
      <c r="BW36">
        <f t="shared" si="18"/>
        <v>0</v>
      </c>
      <c r="BX36">
        <f t="shared" si="19"/>
        <v>0</v>
      </c>
      <c r="BY36">
        <f t="shared" si="20"/>
        <v>79168</v>
      </c>
      <c r="BZ36">
        <f t="shared" si="21"/>
        <v>32912</v>
      </c>
      <c r="CA36">
        <f t="shared" si="22"/>
        <v>23864</v>
      </c>
      <c r="CB36">
        <f t="shared" si="23"/>
        <v>22392</v>
      </c>
      <c r="CC36">
        <f t="shared" si="24"/>
        <v>-1.9999999999242846E-4</v>
      </c>
      <c r="CD36">
        <f t="shared" si="25"/>
        <v>-9.1499999999982151E-2</v>
      </c>
      <c r="CE36">
        <f t="shared" si="26"/>
        <v>-7.6400000000020896E-3</v>
      </c>
      <c r="CF36">
        <f t="shared" si="27"/>
        <v>-0.10013999999999612</v>
      </c>
      <c r="CG36">
        <f t="shared" si="28"/>
        <v>-9.0000000000003411E-3</v>
      </c>
      <c r="CJ36" t="s">
        <v>250</v>
      </c>
    </row>
    <row r="37" spans="1:88" outlineLevel="1" x14ac:dyDescent="0.25">
      <c r="A37" s="10"/>
      <c r="B37" s="10" t="s">
        <v>82</v>
      </c>
      <c r="C37" s="11" t="s">
        <v>241</v>
      </c>
      <c r="D37" s="10">
        <v>25767032</v>
      </c>
      <c r="E37" s="11">
        <v>11</v>
      </c>
      <c r="F37" s="11">
        <v>10</v>
      </c>
      <c r="G37" s="11">
        <v>30</v>
      </c>
      <c r="I37" s="12">
        <f t="shared" si="0"/>
        <v>13.84548</v>
      </c>
      <c r="J37" s="13">
        <f t="shared" si="1"/>
        <v>0.179111043910684</v>
      </c>
      <c r="K37" s="13">
        <f t="shared" si="2"/>
        <v>7.2308521990425589E-2</v>
      </c>
      <c r="L37" s="13">
        <f t="shared" si="3"/>
        <v>5.3967876470988198E-2</v>
      </c>
      <c r="M37" s="13">
        <f t="shared" si="4"/>
        <v>0.10680252192025841</v>
      </c>
      <c r="N37" s="10">
        <f t="shared" si="5"/>
        <v>1863176</v>
      </c>
      <c r="O37" s="13">
        <f t="shared" si="6"/>
        <v>0.18220487416475384</v>
      </c>
      <c r="P37" s="14">
        <v>25329509</v>
      </c>
      <c r="Q37" s="14">
        <v>2532950.9</v>
      </c>
      <c r="R37" s="14">
        <v>41014.9</v>
      </c>
      <c r="S37" s="15">
        <v>4615160</v>
      </c>
      <c r="T37" s="15">
        <v>1390592</v>
      </c>
      <c r="U37" s="15">
        <v>472584</v>
      </c>
      <c r="V37" s="15">
        <v>2751984</v>
      </c>
      <c r="W37" s="16">
        <v>76.225449999999995</v>
      </c>
      <c r="X37" s="16">
        <v>78.926810000000017</v>
      </c>
      <c r="Y37" s="16">
        <v>37.935519999999997</v>
      </c>
      <c r="Z37" s="16">
        <v>43.763879999999993</v>
      </c>
      <c r="AA37" s="16">
        <v>46.561710000000012</v>
      </c>
      <c r="AB37" s="17">
        <v>909</v>
      </c>
      <c r="AC37" s="17">
        <v>1613.47</v>
      </c>
      <c r="AD37" s="17">
        <v>12.22</v>
      </c>
      <c r="AE37" s="17">
        <v>10.596</v>
      </c>
      <c r="AG37" s="12">
        <f t="shared" si="7"/>
        <v>13.831704</v>
      </c>
      <c r="AH37" s="13">
        <f t="shared" si="8"/>
        <v>0.1789328316897344</v>
      </c>
      <c r="AI37" s="13">
        <f t="shared" si="9"/>
        <v>7.4696689940851546E-2</v>
      </c>
      <c r="AJ37" s="13">
        <f t="shared" si="10"/>
        <v>5.542989972613066E-2</v>
      </c>
      <c r="AK37" s="13">
        <f t="shared" si="11"/>
        <v>0.10423614174888284</v>
      </c>
      <c r="AL37" s="10">
        <f t="shared" si="12"/>
        <v>1924712</v>
      </c>
      <c r="AM37" s="13">
        <f t="shared" si="13"/>
        <v>0.18202358363914595</v>
      </c>
      <c r="AN37" s="14">
        <v>25329509</v>
      </c>
      <c r="AO37" s="14">
        <v>2532950.9</v>
      </c>
      <c r="AP37" s="14">
        <v>41014.9</v>
      </c>
      <c r="AQ37" s="15">
        <v>4610568</v>
      </c>
      <c r="AR37" s="15">
        <v>1428264</v>
      </c>
      <c r="AS37" s="15">
        <v>496448</v>
      </c>
      <c r="AT37" s="15">
        <v>2685856</v>
      </c>
      <c r="AU37" s="16">
        <v>76.248940000000005</v>
      </c>
      <c r="AV37" s="16">
        <v>78.913169999999994</v>
      </c>
      <c r="AW37" s="16">
        <v>37.920090000000002</v>
      </c>
      <c r="AX37" s="16">
        <v>43.784419999999997</v>
      </c>
      <c r="AY37" s="16">
        <v>46.598079999999896</v>
      </c>
      <c r="AZ37" s="17">
        <v>828.16600000000005</v>
      </c>
      <c r="BA37" s="17">
        <v>1871.11</v>
      </c>
      <c r="BB37" s="17">
        <v>8.5280000000000005</v>
      </c>
      <c r="BC37" s="17">
        <v>30.818000000000001</v>
      </c>
      <c r="BE37" s="18">
        <f t="shared" si="14"/>
        <v>1.0330274756652083</v>
      </c>
      <c r="BF37" s="19">
        <f t="shared" si="15"/>
        <v>0</v>
      </c>
      <c r="BG37" s="19">
        <f t="shared" si="16"/>
        <v>1.3748810586419025E-2</v>
      </c>
      <c r="BH37" s="19"/>
      <c r="BJ37" s="18"/>
      <c r="BK37" s="18"/>
      <c r="BL37" s="18"/>
      <c r="BM37" s="18"/>
      <c r="BN37" s="18"/>
      <c r="BP37" s="18"/>
      <c r="BQ37" s="18"/>
      <c r="BR37" s="18"/>
      <c r="BS37" s="18"/>
      <c r="BT37" s="18"/>
      <c r="BV37">
        <f t="shared" si="17"/>
        <v>0</v>
      </c>
      <c r="BW37">
        <f t="shared" si="18"/>
        <v>0</v>
      </c>
      <c r="BX37">
        <f t="shared" si="19"/>
        <v>0</v>
      </c>
      <c r="BY37">
        <f t="shared" si="20"/>
        <v>-4592</v>
      </c>
      <c r="BZ37">
        <f t="shared" si="21"/>
        <v>37672</v>
      </c>
      <c r="CA37">
        <f t="shared" si="22"/>
        <v>23864</v>
      </c>
      <c r="CB37">
        <f t="shared" si="23"/>
        <v>-66128</v>
      </c>
      <c r="CC37">
        <f t="shared" si="24"/>
        <v>2.3490000000009559E-2</v>
      </c>
      <c r="CD37">
        <f t="shared" si="25"/>
        <v>-1.3640000000023633E-2</v>
      </c>
      <c r="CE37">
        <f t="shared" si="26"/>
        <v>-1.5429999999994948E-2</v>
      </c>
      <c r="CF37">
        <f t="shared" si="27"/>
        <v>2.0540000000004E-2</v>
      </c>
      <c r="CG37">
        <f t="shared" si="28"/>
        <v>3.6369999999884328E-2</v>
      </c>
      <c r="CJ37" t="s">
        <v>250</v>
      </c>
    </row>
    <row r="38" spans="1:88" outlineLevel="1" x14ac:dyDescent="0.25">
      <c r="A38" s="20"/>
      <c r="B38" s="20" t="s">
        <v>82</v>
      </c>
      <c r="C38" s="21" t="s">
        <v>242</v>
      </c>
      <c r="D38" s="20">
        <v>25767032</v>
      </c>
      <c r="E38" s="21">
        <v>11</v>
      </c>
      <c r="F38" s="21">
        <v>10</v>
      </c>
      <c r="G38" s="21">
        <v>30</v>
      </c>
      <c r="I38" s="22">
        <f t="shared" si="0"/>
        <v>23.520744000000001</v>
      </c>
      <c r="J38" s="23">
        <f t="shared" si="1"/>
        <v>0.30427439217679397</v>
      </c>
      <c r="K38" s="23">
        <f t="shared" si="2"/>
        <v>9.7237120674201052E-2</v>
      </c>
      <c r="L38" s="23">
        <f t="shared" si="3"/>
        <v>7.8896475154763654E-2</v>
      </c>
      <c r="M38" s="23">
        <f t="shared" si="4"/>
        <v>0.20703727150259293</v>
      </c>
      <c r="N38" s="20">
        <f t="shared" si="5"/>
        <v>2505512</v>
      </c>
      <c r="O38" s="23">
        <f t="shared" si="6"/>
        <v>0.30194629038365378</v>
      </c>
      <c r="P38" s="24">
        <v>25965704</v>
      </c>
      <c r="Q38" s="24">
        <v>2596570.4</v>
      </c>
      <c r="R38" s="24">
        <v>46044</v>
      </c>
      <c r="S38" s="25">
        <v>7840248</v>
      </c>
      <c r="T38" s="25">
        <v>2032928</v>
      </c>
      <c r="U38" s="25">
        <v>472584</v>
      </c>
      <c r="V38" s="25">
        <v>5334736</v>
      </c>
      <c r="W38" s="26">
        <v>77.412570000000002</v>
      </c>
      <c r="X38" s="26">
        <v>80.153750000000002</v>
      </c>
      <c r="Y38" s="26">
        <v>39.685470000000002</v>
      </c>
      <c r="Z38" s="26">
        <v>44.549430000000001</v>
      </c>
      <c r="AA38" s="26">
        <v>47.807489999999987</v>
      </c>
      <c r="AB38" s="27">
        <v>939.62399999999991</v>
      </c>
      <c r="AC38" s="27">
        <v>1949.47</v>
      </c>
      <c r="AD38" s="27">
        <v>12.352</v>
      </c>
      <c r="AE38" s="27">
        <v>11.148</v>
      </c>
      <c r="AG38" s="22">
        <f t="shared" si="7"/>
        <v>23.239464000000002</v>
      </c>
      <c r="AH38" s="23">
        <f t="shared" si="8"/>
        <v>0.30063563393719539</v>
      </c>
      <c r="AI38" s="23">
        <f t="shared" si="9"/>
        <v>0.10047971376757711</v>
      </c>
      <c r="AJ38" s="23">
        <f t="shared" si="10"/>
        <v>8.1212923552856225E-2</v>
      </c>
      <c r="AK38" s="23">
        <f t="shared" si="11"/>
        <v>0.20015592016961831</v>
      </c>
      <c r="AL38" s="20">
        <f t="shared" si="12"/>
        <v>2589064</v>
      </c>
      <c r="AM38" s="23">
        <f t="shared" si="13"/>
        <v>0.29833537346031519</v>
      </c>
      <c r="AN38" s="24">
        <v>25965704</v>
      </c>
      <c r="AO38" s="24">
        <v>2596570.4</v>
      </c>
      <c r="AP38" s="24">
        <v>46044</v>
      </c>
      <c r="AQ38" s="25">
        <v>7746488</v>
      </c>
      <c r="AR38" s="25">
        <v>2092616</v>
      </c>
      <c r="AS38" s="25">
        <v>496448</v>
      </c>
      <c r="AT38" s="25">
        <v>5157424</v>
      </c>
      <c r="AU38" s="26">
        <v>77.404379999999904</v>
      </c>
      <c r="AV38" s="26">
        <v>80.113599999999906</v>
      </c>
      <c r="AW38" s="26">
        <v>39.698279999999997</v>
      </c>
      <c r="AX38" s="26">
        <v>44.570259999999998</v>
      </c>
      <c r="AY38" s="26">
        <v>47.852059999999902</v>
      </c>
      <c r="AZ38" s="27">
        <v>830.61400000000003</v>
      </c>
      <c r="BA38" s="27">
        <v>1982.69</v>
      </c>
      <c r="BB38" s="27">
        <v>8.4019999999999992</v>
      </c>
      <c r="BC38" s="27">
        <v>31.12</v>
      </c>
      <c r="BE38" s="28">
        <f t="shared" si="14"/>
        <v>1.0333472759260383</v>
      </c>
      <c r="BF38" s="29">
        <f t="shared" si="15"/>
        <v>0</v>
      </c>
      <c r="BG38" s="29">
        <f t="shared" si="16"/>
        <v>1.4653728295596635E-2</v>
      </c>
      <c r="BH38" s="29"/>
      <c r="BJ38" s="28"/>
      <c r="BK38" s="28"/>
      <c r="BL38" s="28"/>
      <c r="BM38" s="28"/>
      <c r="BN38" s="28"/>
      <c r="BP38" s="28"/>
      <c r="BQ38" s="28"/>
      <c r="BR38" s="28"/>
      <c r="BS38" s="28"/>
      <c r="BT38" s="28"/>
      <c r="BV38">
        <f t="shared" si="17"/>
        <v>0</v>
      </c>
      <c r="BW38">
        <f t="shared" si="18"/>
        <v>0</v>
      </c>
      <c r="BX38">
        <f t="shared" si="19"/>
        <v>0</v>
      </c>
      <c r="BY38">
        <f t="shared" si="20"/>
        <v>-93760</v>
      </c>
      <c r="BZ38">
        <f t="shared" si="21"/>
        <v>59688</v>
      </c>
      <c r="CA38">
        <f t="shared" si="22"/>
        <v>23864</v>
      </c>
      <c r="CB38">
        <f t="shared" si="23"/>
        <v>-177312</v>
      </c>
      <c r="CC38">
        <f t="shared" si="24"/>
        <v>-8.1900000000985074E-3</v>
      </c>
      <c r="CD38">
        <f t="shared" si="25"/>
        <v>-4.0150000000096497E-2</v>
      </c>
      <c r="CE38">
        <f t="shared" si="26"/>
        <v>1.2809999999994659E-2</v>
      </c>
      <c r="CF38">
        <f t="shared" si="27"/>
        <v>2.0829999999996573E-2</v>
      </c>
      <c r="CG38">
        <f t="shared" si="28"/>
        <v>4.4569999999914955E-2</v>
      </c>
      <c r="CJ38" t="s">
        <v>250</v>
      </c>
    </row>
    <row r="39" spans="1:88" ht="15.75" customHeight="1" outlineLevel="1" thickBot="1" x14ac:dyDescent="0.3">
      <c r="A39" s="30"/>
      <c r="B39" s="30" t="s">
        <v>82</v>
      </c>
      <c r="C39" s="31" t="s">
        <v>243</v>
      </c>
      <c r="D39" s="30">
        <v>25767032</v>
      </c>
      <c r="E39" s="31">
        <v>11</v>
      </c>
      <c r="F39" s="31">
        <v>10</v>
      </c>
      <c r="G39" s="31">
        <v>30</v>
      </c>
      <c r="I39" s="32">
        <f t="shared" si="0"/>
        <v>43.417752</v>
      </c>
      <c r="J39" s="33">
        <f t="shared" si="1"/>
        <v>0.56167058743901899</v>
      </c>
      <c r="K39" s="33">
        <f t="shared" si="2"/>
        <v>0.15697733444814288</v>
      </c>
      <c r="L39" s="33">
        <f t="shared" si="3"/>
        <v>0.12001195946820728</v>
      </c>
      <c r="M39" s="33">
        <f t="shared" si="4"/>
        <v>0.40469325299087611</v>
      </c>
      <c r="N39" s="30">
        <f t="shared" si="5"/>
        <v>4044840</v>
      </c>
      <c r="O39" s="33">
        <f t="shared" si="6"/>
        <v>0.56948942642624945</v>
      </c>
      <c r="P39" s="34">
        <v>25413262</v>
      </c>
      <c r="Q39" s="34">
        <v>2541326.2000000002</v>
      </c>
      <c r="R39" s="34">
        <v>18484.2</v>
      </c>
      <c r="S39" s="35">
        <v>14472584</v>
      </c>
      <c r="T39" s="35">
        <v>3092352</v>
      </c>
      <c r="U39" s="35">
        <v>952488</v>
      </c>
      <c r="V39" s="35">
        <v>10427744</v>
      </c>
      <c r="W39" s="36">
        <v>78.310299999999998</v>
      </c>
      <c r="X39" s="36">
        <v>81.886919999999989</v>
      </c>
      <c r="Y39" s="36">
        <v>41.256819999999998</v>
      </c>
      <c r="Z39" s="36">
        <v>45.560220000000001</v>
      </c>
      <c r="AA39" s="36">
        <v>49.136880000000012</v>
      </c>
      <c r="AB39" s="37">
        <v>938.92</v>
      </c>
      <c r="AC39" s="37">
        <v>2133.65</v>
      </c>
      <c r="AD39" s="37">
        <v>12.135999999999999</v>
      </c>
      <c r="AE39" s="37">
        <v>12.504</v>
      </c>
      <c r="AG39" s="32">
        <f t="shared" si="7"/>
        <v>42.720024000000002</v>
      </c>
      <c r="AH39" s="33">
        <f t="shared" si="8"/>
        <v>0.55264447996959831</v>
      </c>
      <c r="AI39" s="33">
        <f t="shared" si="9"/>
        <v>0.1610200196902771</v>
      </c>
      <c r="AJ39" s="33">
        <f t="shared" si="10"/>
        <v>0.12347281596110875</v>
      </c>
      <c r="AK39" s="33">
        <f t="shared" si="11"/>
        <v>0.39162446027932124</v>
      </c>
      <c r="AL39" s="30">
        <f t="shared" si="12"/>
        <v>4149008</v>
      </c>
      <c r="AM39" s="33">
        <f t="shared" si="13"/>
        <v>0.56033766936334262</v>
      </c>
      <c r="AN39" s="34">
        <v>25413262</v>
      </c>
      <c r="AO39" s="34">
        <v>2541326.2000000002</v>
      </c>
      <c r="AP39" s="34">
        <v>18484.2</v>
      </c>
      <c r="AQ39" s="35">
        <v>14240008</v>
      </c>
      <c r="AR39" s="35">
        <v>3181528</v>
      </c>
      <c r="AS39" s="35">
        <v>967480</v>
      </c>
      <c r="AT39" s="35">
        <v>10091000</v>
      </c>
      <c r="AU39" s="36">
        <v>78.330510000000004</v>
      </c>
      <c r="AV39" s="36">
        <v>81.875</v>
      </c>
      <c r="AW39" s="36">
        <v>41.325289999999903</v>
      </c>
      <c r="AX39" s="36">
        <v>45.571959999999997</v>
      </c>
      <c r="AY39" s="36">
        <v>49.139159999999997</v>
      </c>
      <c r="AZ39" s="37">
        <v>829.85900000000004</v>
      </c>
      <c r="BA39" s="37">
        <v>2144.46</v>
      </c>
      <c r="BB39" s="37">
        <v>8.2780000000000005</v>
      </c>
      <c r="BC39" s="37">
        <v>32.252000000000002</v>
      </c>
      <c r="BE39" s="38">
        <f t="shared" si="14"/>
        <v>1.0257533054459509</v>
      </c>
      <c r="BF39" s="39">
        <f t="shared" si="15"/>
        <v>0</v>
      </c>
      <c r="BG39" s="39">
        <f t="shared" si="16"/>
        <v>1.1879840167163758E-2</v>
      </c>
      <c r="BH39" s="39"/>
      <c r="BJ39" s="38"/>
      <c r="BK39" s="38"/>
      <c r="BL39" s="38"/>
      <c r="BM39" s="38"/>
      <c r="BN39" s="38"/>
      <c r="BP39" s="38"/>
      <c r="BQ39" s="38"/>
      <c r="BR39" s="38"/>
      <c r="BS39" s="38"/>
      <c r="BT39" s="38"/>
      <c r="BV39">
        <f t="shared" si="17"/>
        <v>0</v>
      </c>
      <c r="BW39">
        <f t="shared" si="18"/>
        <v>0</v>
      </c>
      <c r="BX39">
        <f t="shared" si="19"/>
        <v>0</v>
      </c>
      <c r="BY39">
        <f t="shared" si="20"/>
        <v>-232576</v>
      </c>
      <c r="BZ39">
        <f t="shared" si="21"/>
        <v>89176</v>
      </c>
      <c r="CA39">
        <f t="shared" si="22"/>
        <v>14992</v>
      </c>
      <c r="CB39">
        <f t="shared" si="23"/>
        <v>-336744</v>
      </c>
      <c r="CC39">
        <f t="shared" si="24"/>
        <v>2.0210000000005834E-2</v>
      </c>
      <c r="CD39">
        <f t="shared" si="25"/>
        <v>-1.1919999999989273E-2</v>
      </c>
      <c r="CE39">
        <f t="shared" si="26"/>
        <v>6.846999999990544E-2</v>
      </c>
      <c r="CF39">
        <f t="shared" si="27"/>
        <v>1.1739999999996087E-2</v>
      </c>
      <c r="CG39">
        <f t="shared" si="28"/>
        <v>2.2799999999847387E-3</v>
      </c>
      <c r="CJ39" t="s">
        <v>250</v>
      </c>
    </row>
    <row r="40" spans="1:88" x14ac:dyDescent="0.25">
      <c r="B40" s="50" t="s">
        <v>16</v>
      </c>
      <c r="J40" s="51">
        <f>AVERAGE(J5:J24)</f>
        <v>0.43204205319542882</v>
      </c>
      <c r="K40" s="51">
        <f>AVERAGE(K5:K24)</f>
        <v>0.1270614960411689</v>
      </c>
      <c r="L40" s="51">
        <f>AVERAGE(L5:L24)</f>
        <v>8.8608073895740394E-2</v>
      </c>
      <c r="M40" s="51">
        <f>AVERAGE(M5:M24)</f>
        <v>0.30498055715425998</v>
      </c>
      <c r="AH40" s="51">
        <f>AVERAGE(AH5:AH24)</f>
        <v>0.45270130975841738</v>
      </c>
      <c r="AI40" s="51">
        <f>AVERAGE(AI5:AI24)</f>
        <v>0.14987375465778122</v>
      </c>
      <c r="AJ40" s="51">
        <f>AVERAGE(AJ5:AJ24)</f>
        <v>9.9497650663782911E-2</v>
      </c>
      <c r="AK40" s="51">
        <f>AVERAGE(AK5:AK24)</f>
        <v>0.30282755510063614</v>
      </c>
      <c r="BE40" s="4">
        <f t="shared" si="14"/>
        <v>1.17953714797456</v>
      </c>
      <c r="BH40" s="55">
        <f>AVERAGE(BH5:BH24)</f>
        <v>3.3273783475307336E-2</v>
      </c>
      <c r="BJ40" s="4">
        <f>AVERAGE(BJ5:BJ24)</f>
        <v>0.23182698279379416</v>
      </c>
      <c r="BK40" s="4">
        <f>AVERAGE(BK5:BK24)</f>
        <v>0.24463621107239109</v>
      </c>
      <c r="BL40" s="4">
        <f>AVERAGE(BL5:BL24)</f>
        <v>4.3438574224702875E-2</v>
      </c>
      <c r="BM40" s="4">
        <f>AVERAGE(BM5:BM24)</f>
        <v>4.660914408718056E-2</v>
      </c>
      <c r="BN40" s="4">
        <f>AVERAGE(BN5:BN24)</f>
        <v>3.633101361448296E-2</v>
      </c>
      <c r="BP40" s="4">
        <f>AVERAGE(BP5:BP24)</f>
        <v>0.14558343273344082</v>
      </c>
      <c r="BQ40" s="4">
        <f>AVERAGE(BQ5:BQ24)</f>
        <v>0.16623713520842309</v>
      </c>
      <c r="BR40" s="4">
        <f>AVERAGE(BR5:BR24)</f>
        <v>0.10076718200142931</v>
      </c>
      <c r="BS40" s="4">
        <f>AVERAGE(BS5:BS24)</f>
        <v>9.6723924772921466E-2</v>
      </c>
      <c r="BT40" s="4">
        <f>AVERAGE(BT5:BT24)</f>
        <v>9.0524374185851963E-2</v>
      </c>
    </row>
    <row r="41" spans="1:88" x14ac:dyDescent="0.25">
      <c r="B41" s="50" t="s">
        <v>17</v>
      </c>
      <c r="J41" s="51">
        <f>AVERAGE(J25:J29)</f>
        <v>0.85446852784610616</v>
      </c>
      <c r="K41" s="51">
        <f>AVERAGE(K25:K29)</f>
        <v>0.12325262772313088</v>
      </c>
      <c r="L41" s="51">
        <f>AVERAGE(L25:L29)</f>
        <v>9.0132365123065342E-2</v>
      </c>
      <c r="M41" s="51">
        <f>AVERAGE(M25:M29)</f>
        <v>0.73121590012297522</v>
      </c>
      <c r="AH41" s="51">
        <f>AVERAGE(AH25:AH29)</f>
        <v>0.8295819504805706</v>
      </c>
      <c r="AI41" s="51">
        <f>AVERAGE(AI25:AI29)</f>
        <v>0.13932702096141938</v>
      </c>
      <c r="AJ41" s="51">
        <f>AVERAGE(AJ25:AJ29)</f>
        <v>9.8594491681708044E-2</v>
      </c>
      <c r="AK41" s="51">
        <f>AVERAGE(AK25:AK29)</f>
        <v>0.69025492951915124</v>
      </c>
      <c r="BE41" s="4">
        <f t="shared" si="14"/>
        <v>1.1304182599205699</v>
      </c>
      <c r="BH41" s="55">
        <f>AVERAGE(BH25:BH29)</f>
        <v>2.6247574823152514E-2</v>
      </c>
      <c r="BJ41" s="4">
        <f>AVERAGE(BJ25:BJ29)</f>
        <v>0.17668492226676258</v>
      </c>
      <c r="BK41" s="4">
        <f>AVERAGE(BK25:BK29)</f>
        <v>0.1887625391060832</v>
      </c>
      <c r="BL41" s="4">
        <f>AVERAGE(BL25:BL29)</f>
        <v>-4.3167588232075782E-2</v>
      </c>
      <c r="BM41" s="4">
        <f>AVERAGE(BM25:BM29)</f>
        <v>-3.0536130961200447E-2</v>
      </c>
      <c r="BN41" s="4">
        <f>AVERAGE(BN25:BN29)</f>
        <v>-2.2101254143191862E-2</v>
      </c>
      <c r="BP41" s="4">
        <f>AVERAGE(BP25:BP29)</f>
        <v>6.1794442261294824E-2</v>
      </c>
      <c r="BQ41" s="4">
        <f>AVERAGE(BQ25:BQ29)</f>
        <v>8.3718932386995126E-2</v>
      </c>
      <c r="BR41" s="4">
        <f>AVERAGE(BR25:BR29)</f>
        <v>-1.2011907990475135E-2</v>
      </c>
      <c r="BS41" s="4">
        <f>AVERAGE(BS25:BS29)</f>
        <v>-1.4963667975831374E-3</v>
      </c>
      <c r="BT41" s="4">
        <f>AVERAGE(BT25:BT29)</f>
        <v>6.9927959717099863E-3</v>
      </c>
    </row>
    <row r="42" spans="1:88" x14ac:dyDescent="0.25">
      <c r="B42" s="50" t="s">
        <v>18</v>
      </c>
      <c r="J42" s="51">
        <f>AVERAGE(J30:J39)</f>
        <v>0.22800954330562617</v>
      </c>
      <c r="K42" s="51">
        <f>AVERAGE(K30:K39)</f>
        <v>7.9683659825083769E-2</v>
      </c>
      <c r="L42" s="51">
        <f>AVERAGE(L30:L39)</f>
        <v>5.9753712180753461E-2</v>
      </c>
      <c r="M42" s="51">
        <f>AVERAGE(M30:M39)</f>
        <v>0.1483258834805424</v>
      </c>
      <c r="AH42" s="51">
        <f>AVERAGE(AH30:AH39)</f>
        <v>0.23087995642228837</v>
      </c>
      <c r="AI42" s="51">
        <f>AVERAGE(AI30:AI39)</f>
        <v>8.3682477481503148E-2</v>
      </c>
      <c r="AJ42" s="51">
        <f>AVERAGE(AJ30:AJ39)</f>
        <v>6.227271806591491E-2</v>
      </c>
      <c r="AK42" s="51">
        <f>AVERAGE(AK30:AK39)</f>
        <v>0.14719747894078522</v>
      </c>
      <c r="BE42" s="4">
        <f t="shared" si="14"/>
        <v>1.050183659550745</v>
      </c>
      <c r="BH42" s="55">
        <f>AVERAGE(BH30:BH39)</f>
        <v>9.2991608013743565E-3</v>
      </c>
      <c r="BJ42" s="4">
        <f>AVERAGE(BJ30:BJ39)</f>
        <v>6.0865096489207016E-2</v>
      </c>
      <c r="BK42" s="4">
        <f>AVERAGE(BK30:BK39)</f>
        <v>7.0337334799526197E-2</v>
      </c>
      <c r="BL42" s="4">
        <f>AVERAGE(BL30:BL39)</f>
        <v>1.5983675038133027E-2</v>
      </c>
      <c r="BM42" s="4">
        <f>AVERAGE(BM30:BM39)</f>
        <v>2.9284429404277557E-2</v>
      </c>
      <c r="BN42" s="4">
        <f>AVERAGE(BN30:BN39)</f>
        <v>-2.5774733508883985E-2</v>
      </c>
      <c r="BP42" s="4">
        <f>AVERAGE(BP30:BP39)</f>
        <v>3.908783707515695E-2</v>
      </c>
      <c r="BQ42" s="4">
        <f>AVERAGE(BQ30:BQ39)</f>
        <v>5.3744695768824347E-2</v>
      </c>
      <c r="BR42" s="4">
        <f>AVERAGE(BR30:BR39)</f>
        <v>3.1208259516764092E-2</v>
      </c>
      <c r="BS42" s="4">
        <f>AVERAGE(BS30:BS39)</f>
        <v>3.8940933027364011E-2</v>
      </c>
      <c r="BT42" s="4">
        <f>AVERAGE(BT30:BT39)</f>
        <v>2.2735135898087622E-3</v>
      </c>
    </row>
    <row r="43" spans="1:88" collapsed="1" x14ac:dyDescent="0.25">
      <c r="B43" s="50" t="s">
        <v>19</v>
      </c>
      <c r="J43" s="51">
        <f>AVERAGE(J5:J39)</f>
        <v>0.43409368960558198</v>
      </c>
      <c r="K43" s="51">
        <f>AVERAGE(K5:K39)</f>
        <v>0.11298084736256772</v>
      </c>
      <c r="L43" s="51">
        <f>AVERAGE(L5:L39)</f>
        <v>8.0581726438219148E-2</v>
      </c>
      <c r="M43" s="51">
        <f>AVERAGE(M5:M39)</f>
        <v>0.32111284224301428</v>
      </c>
      <c r="AH43" s="51">
        <f>AVERAGE(AH5:AH39)</f>
        <v>0.44316387176554523</v>
      </c>
      <c r="AI43" s="51">
        <f>AVERAGE(AI5:AI39)</f>
        <v>0.12945528493650721</v>
      </c>
      <c r="AJ43" s="51">
        <f>AVERAGE(AJ5:AJ39)</f>
        <v>8.8732932924095648E-2</v>
      </c>
      <c r="AK43" s="51">
        <f>AVERAGE(AK5:AK39)</f>
        <v>0.31370858682903796</v>
      </c>
      <c r="BE43" s="4">
        <f t="shared" si="14"/>
        <v>1.1458161976876597</v>
      </c>
      <c r="BH43" s="55">
        <f>AVERAGE(BH5:BH39)</f>
        <v>2.542014718959008E-2</v>
      </c>
      <c r="BJ43" s="4">
        <f>AVERAGE(BJ5:BJ39)</f>
        <v>0.17510329234576474</v>
      </c>
      <c r="BK43" s="4">
        <f>AVERAGE(BK5:BK39)</f>
        <v>0.18685457899924285</v>
      </c>
      <c r="BL43" s="4">
        <f>AVERAGE(BL5:BL39)</f>
        <v>2.3222008391857396E-2</v>
      </c>
      <c r="BM43" s="4">
        <f>AVERAGE(BM5:BM39)</f>
        <v>3.0638472028010986E-2</v>
      </c>
      <c r="BN43" s="4">
        <f>AVERAGE(BN5:BN39)</f>
        <v>1.0239047613853145E-2</v>
      </c>
      <c r="BP43" s="4">
        <f>AVERAGE(BP5:BP39)</f>
        <v>0.10318626390648171</v>
      </c>
      <c r="BQ43" s="4">
        <f>AVERAGE(BQ5:BQ39)</f>
        <v>0.12230812353690516</v>
      </c>
      <c r="BR43" s="4">
        <f>AVERAGE(BR5:BR39)</f>
        <v>6.4781905578395763E-2</v>
      </c>
      <c r="BS43" s="4">
        <f>AVERAGE(BS5:BS39)</f>
        <v>6.6183028335547248E-2</v>
      </c>
      <c r="BT43" s="4">
        <f>AVERAGE(BT5:BT39)</f>
        <v>5.3376759984962198E-2</v>
      </c>
    </row>
    <row r="44" spans="1:88" hidden="1" outlineLevel="2" x14ac:dyDescent="0.25">
      <c r="A44" s="50" t="s">
        <v>251</v>
      </c>
      <c r="B44" s="50" t="s">
        <v>252</v>
      </c>
      <c r="AB44" s="52">
        <f>SUM(AB5:AB24,AB25:AB29,AB30:AB39)</f>
        <v>94086.01</v>
      </c>
      <c r="AC44" s="52">
        <f>SUM(AC5:AC24,AC25:AC29,AC30:AC39)</f>
        <v>61281.329999999994</v>
      </c>
      <c r="AD44" s="52">
        <f>SUM(AD5:AD24,AD25:AD29,AD30:AD39)</f>
        <v>440.73600000000005</v>
      </c>
      <c r="AE44" s="52">
        <f>SUM(AE5:AE24,AE25:AE29,AE30:AE39)</f>
        <v>363.59199999999998</v>
      </c>
      <c r="AZ44" s="52">
        <f>SUM(AZ5:AZ24,AZ25:AZ29,AZ30:AZ39)</f>
        <v>84989.077000000005</v>
      </c>
      <c r="BA44" s="52">
        <f>SUM(BA5:BA24,BA25:BA29,BA30:BA39)</f>
        <v>67108.579999999987</v>
      </c>
      <c r="BB44" s="52">
        <f>SUM(BB5:BB24,BB25:BB29,BB30:BB39)</f>
        <v>299.94399999999996</v>
      </c>
      <c r="BC44" s="52">
        <f>SUM(BC5:BC24,BC25:BC29,BC30:BC39)</f>
        <v>1023.3639999999999</v>
      </c>
    </row>
    <row r="45" spans="1:88" hidden="1" outlineLevel="2" x14ac:dyDescent="0.25">
      <c r="B45" s="50" t="s">
        <v>253</v>
      </c>
      <c r="AZ45" s="55">
        <f>AZ44/AB44</f>
        <v>0.90331258600508202</v>
      </c>
      <c r="BA45" s="55">
        <f>BA44/AC44</f>
        <v>1.0950901359353655</v>
      </c>
      <c r="BB45" s="55">
        <f>BB44/AD44</f>
        <v>0.68055253031293095</v>
      </c>
      <c r="BC45" s="55">
        <f>BC44/AE44</f>
        <v>2.8145943805144227</v>
      </c>
    </row>
    <row r="46" spans="1:88" hidden="1" outlineLevel="2" x14ac:dyDescent="0.25">
      <c r="B46" s="50" t="s">
        <v>254</v>
      </c>
      <c r="AB46" s="52">
        <f>GEOMEAN(AB5:AB24,AB25:AB29,AB30:AB39)</f>
        <v>2237.9683596321574</v>
      </c>
      <c r="AC46" s="52">
        <f>GEOMEAN(AC5:AC24,AC25:AC29,AC30:AC39)</f>
        <v>1728.7350138739307</v>
      </c>
      <c r="AD46" s="52">
        <f>GEOMEAN(AD5:AD24,AD25:AD29,AD30:AD39)</f>
        <v>12.532899057552457</v>
      </c>
      <c r="AE46" s="52">
        <f>GEOMEAN(AE5:AE24,AE25:AE29,AE30:AE39)</f>
        <v>10.254295005808965</v>
      </c>
      <c r="AZ46" s="52">
        <f>GEOMEAN(AZ5:AZ24,AZ25:AZ29,AZ30:AZ39)</f>
        <v>2021.875392285564</v>
      </c>
      <c r="BA46" s="52">
        <f>GEOMEAN(BA5:BA24,BA25:BA29,BA30:BA39)</f>
        <v>1891.5501424500499</v>
      </c>
      <c r="BB46" s="52">
        <f>GEOMEAN(BB5:BB24,BB25:BB29,BB30:BB39)</f>
        <v>8.4894643060570569</v>
      </c>
      <c r="BC46" s="52">
        <f>GEOMEAN(BC5:BC24,BC25:BC29,BC30:BC39)</f>
        <v>28.987719155311492</v>
      </c>
    </row>
    <row r="47" spans="1:88" hidden="1" outlineLevel="2" collapsed="1" x14ac:dyDescent="0.25">
      <c r="B47" s="50" t="s">
        <v>255</v>
      </c>
      <c r="AZ47" s="55">
        <f>AZ46/AB46</f>
        <v>0.90344234921082112</v>
      </c>
      <c r="BA47" s="55">
        <f>BA46/AC46</f>
        <v>1.094181657263519</v>
      </c>
      <c r="BB47" s="55">
        <f>BB46/AD46</f>
        <v>0.67737434627634829</v>
      </c>
      <c r="BC47" s="55">
        <f>BC46/AE46</f>
        <v>2.8268856258660602</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256</v>
      </c>
      <c r="B1">
        <v>1</v>
      </c>
    </row>
    <row r="2" spans="1:2" x14ac:dyDescent="0.25">
      <c r="A2" t="s">
        <v>257</v>
      </c>
      <c r="B2">
        <v>2</v>
      </c>
    </row>
    <row r="3" spans="1:2" x14ac:dyDescent="0.25">
      <c r="A3" t="s">
        <v>258</v>
      </c>
      <c r="B3">
        <v>3</v>
      </c>
    </row>
    <row r="4" spans="1:2" x14ac:dyDescent="0.25">
      <c r="A4" t="s">
        <v>259</v>
      </c>
      <c r="B4">
        <v>4</v>
      </c>
    </row>
    <row r="5" spans="1:2" x14ac:dyDescent="0.25">
      <c r="A5" t="s">
        <v>260</v>
      </c>
      <c r="B5">
        <v>5</v>
      </c>
    </row>
    <row r="6" spans="1:2" x14ac:dyDescent="0.25">
      <c r="A6" t="s">
        <v>261</v>
      </c>
      <c r="B6">
        <v>6</v>
      </c>
    </row>
    <row r="7" spans="1:2" x14ac:dyDescent="0.25">
      <c r="A7" t="s">
        <v>262</v>
      </c>
      <c r="B7">
        <v>7</v>
      </c>
    </row>
    <row r="8" spans="1:2" x14ac:dyDescent="0.25">
      <c r="A8" t="s">
        <v>263</v>
      </c>
      <c r="B8">
        <v>9</v>
      </c>
    </row>
    <row r="9" spans="1:2" x14ac:dyDescent="0.25">
      <c r="A9" t="s">
        <v>264</v>
      </c>
      <c r="B9">
        <v>10</v>
      </c>
    </row>
    <row r="10" spans="1:2" x14ac:dyDescent="0.25">
      <c r="A10" t="s">
        <v>265</v>
      </c>
      <c r="B10">
        <v>11</v>
      </c>
    </row>
    <row r="11" spans="1:2" x14ac:dyDescent="0.25">
      <c r="A11" t="s">
        <v>266</v>
      </c>
      <c r="B11">
        <v>12</v>
      </c>
    </row>
    <row r="12" spans="1:2" x14ac:dyDescent="0.25">
      <c r="A12" t="s">
        <v>267</v>
      </c>
      <c r="B12">
        <v>13</v>
      </c>
    </row>
    <row r="13" spans="1:2" x14ac:dyDescent="0.25">
      <c r="A13" t="s">
        <v>268</v>
      </c>
      <c r="B13">
        <v>14</v>
      </c>
    </row>
    <row r="14" spans="1:2" x14ac:dyDescent="0.25">
      <c r="A14" t="s">
        <v>269</v>
      </c>
      <c r="B14">
        <v>15</v>
      </c>
    </row>
    <row r="15" spans="1:2" x14ac:dyDescent="0.25">
      <c r="A15" t="s">
        <v>270</v>
      </c>
      <c r="B15">
        <v>16</v>
      </c>
    </row>
    <row r="16" spans="1:2" x14ac:dyDescent="0.25">
      <c r="A16" t="s">
        <v>271</v>
      </c>
      <c r="B16">
        <v>17</v>
      </c>
    </row>
    <row r="17" spans="1:2" x14ac:dyDescent="0.25">
      <c r="A17" t="s">
        <v>272</v>
      </c>
      <c r="B17">
        <v>18</v>
      </c>
    </row>
    <row r="18" spans="1:2" x14ac:dyDescent="0.25">
      <c r="A18" t="s">
        <v>273</v>
      </c>
      <c r="B18">
        <v>19</v>
      </c>
    </row>
    <row r="19" spans="1:2" x14ac:dyDescent="0.25">
      <c r="A19" t="s">
        <v>274</v>
      </c>
      <c r="B19">
        <v>20</v>
      </c>
    </row>
    <row r="20" spans="1:2" x14ac:dyDescent="0.25">
      <c r="A20" t="s">
        <v>275</v>
      </c>
      <c r="B20">
        <v>21</v>
      </c>
    </row>
    <row r="21" spans="1:2" x14ac:dyDescent="0.25">
      <c r="A21" t="s">
        <v>276</v>
      </c>
      <c r="B21">
        <v>22</v>
      </c>
    </row>
    <row r="22" spans="1:2" x14ac:dyDescent="0.25">
      <c r="A22" t="s">
        <v>277</v>
      </c>
      <c r="B22">
        <v>23</v>
      </c>
    </row>
    <row r="23" spans="1:2" x14ac:dyDescent="0.25">
      <c r="A23" t="s">
        <v>278</v>
      </c>
      <c r="B23">
        <v>24</v>
      </c>
    </row>
    <row r="24" spans="1:2" x14ac:dyDescent="0.25">
      <c r="A24" t="s">
        <v>279</v>
      </c>
      <c r="B24">
        <v>25</v>
      </c>
    </row>
    <row r="25" spans="1:2" x14ac:dyDescent="0.25">
      <c r="A25" t="s">
        <v>280</v>
      </c>
      <c r="B25">
        <v>26</v>
      </c>
    </row>
    <row r="26" spans="1:2" x14ac:dyDescent="0.25">
      <c r="A26" t="s">
        <v>281</v>
      </c>
      <c r="B26">
        <v>27</v>
      </c>
    </row>
    <row r="27" spans="1:2" x14ac:dyDescent="0.25">
      <c r="A27" t="s">
        <v>282</v>
      </c>
      <c r="B27">
        <v>28</v>
      </c>
    </row>
    <row r="28" spans="1:2" x14ac:dyDescent="0.25">
      <c r="A28" t="s">
        <v>283</v>
      </c>
      <c r="B28">
        <v>29</v>
      </c>
    </row>
    <row r="29" spans="1:2" x14ac:dyDescent="0.25">
      <c r="A29" t="s">
        <v>284</v>
      </c>
      <c r="B29">
        <v>30</v>
      </c>
    </row>
    <row r="30" spans="1:2" x14ac:dyDescent="0.25">
      <c r="A30" t="s">
        <v>285</v>
      </c>
      <c r="B30">
        <v>31</v>
      </c>
    </row>
    <row r="31" spans="1:2" x14ac:dyDescent="0.25">
      <c r="A31" t="s">
        <v>286</v>
      </c>
      <c r="B31">
        <v>33</v>
      </c>
    </row>
    <row r="32" spans="1:2" x14ac:dyDescent="0.25">
      <c r="A32" t="s">
        <v>287</v>
      </c>
      <c r="B32">
        <v>34</v>
      </c>
    </row>
    <row r="33" spans="1:2" x14ac:dyDescent="0.25">
      <c r="A33" t="s">
        <v>288</v>
      </c>
      <c r="B33">
        <v>35</v>
      </c>
    </row>
    <row r="34" spans="1:2" x14ac:dyDescent="0.25">
      <c r="A34" t="s">
        <v>289</v>
      </c>
      <c r="B34">
        <v>36</v>
      </c>
    </row>
    <row r="35" spans="1:2" x14ac:dyDescent="0.25">
      <c r="A35" t="s">
        <v>290</v>
      </c>
      <c r="B35">
        <v>37</v>
      </c>
    </row>
    <row r="36" spans="1:2" x14ac:dyDescent="0.25">
      <c r="A36" t="s">
        <v>291</v>
      </c>
      <c r="B36">
        <v>38</v>
      </c>
    </row>
    <row r="37" spans="1:2" x14ac:dyDescent="0.25">
      <c r="A37" t="s">
        <v>292</v>
      </c>
      <c r="B37">
        <v>39</v>
      </c>
    </row>
    <row r="38" spans="1:2" x14ac:dyDescent="0.25">
      <c r="A38" t="s">
        <v>293</v>
      </c>
      <c r="B38">
        <v>40</v>
      </c>
    </row>
    <row r="39" spans="1:2" x14ac:dyDescent="0.25">
      <c r="A39" t="s">
        <v>294</v>
      </c>
      <c r="B39">
        <v>41</v>
      </c>
    </row>
    <row r="40" spans="1:2" x14ac:dyDescent="0.25">
      <c r="A40" t="s">
        <v>295</v>
      </c>
      <c r="B40">
        <v>42</v>
      </c>
    </row>
    <row r="41" spans="1:2" x14ac:dyDescent="0.25">
      <c r="A41" t="s">
        <v>296</v>
      </c>
      <c r="B41">
        <v>43</v>
      </c>
    </row>
    <row r="42" spans="1:2" x14ac:dyDescent="0.25">
      <c r="A42" t="s">
        <v>297</v>
      </c>
      <c r="B42">
        <v>44</v>
      </c>
    </row>
    <row r="43" spans="1:2" x14ac:dyDescent="0.25">
      <c r="A43" t="s">
        <v>298</v>
      </c>
      <c r="B43">
        <v>45</v>
      </c>
    </row>
    <row r="44" spans="1:2" x14ac:dyDescent="0.25">
      <c r="A44" t="s">
        <v>299</v>
      </c>
      <c r="B44">
        <v>46</v>
      </c>
    </row>
    <row r="45" spans="1:2" x14ac:dyDescent="0.25">
      <c r="A45" t="s">
        <v>300</v>
      </c>
      <c r="B45">
        <v>47</v>
      </c>
    </row>
    <row r="46" spans="1:2" x14ac:dyDescent="0.25">
      <c r="A46" t="s">
        <v>301</v>
      </c>
      <c r="B46">
        <v>48</v>
      </c>
    </row>
    <row r="47" spans="1:2" x14ac:dyDescent="0.25">
      <c r="A47" t="s">
        <v>302</v>
      </c>
      <c r="B47">
        <v>49</v>
      </c>
    </row>
    <row r="48" spans="1:2" x14ac:dyDescent="0.25">
      <c r="A48" t="s">
        <v>303</v>
      </c>
      <c r="B48">
        <v>50</v>
      </c>
    </row>
    <row r="49" spans="1:2" x14ac:dyDescent="0.25">
      <c r="A49" t="s">
        <v>304</v>
      </c>
      <c r="B49">
        <v>51</v>
      </c>
    </row>
    <row r="50" spans="1:2" x14ac:dyDescent="0.25">
      <c r="A50" t="s">
        <v>305</v>
      </c>
      <c r="B50">
        <v>52</v>
      </c>
    </row>
    <row r="51" spans="1:2" x14ac:dyDescent="0.25">
      <c r="A51" t="s">
        <v>306</v>
      </c>
      <c r="B51">
        <v>53</v>
      </c>
    </row>
    <row r="52" spans="1:2" x14ac:dyDescent="0.25">
      <c r="A52" t="s">
        <v>307</v>
      </c>
      <c r="B52">
        <v>54</v>
      </c>
    </row>
    <row r="53" spans="1:2" x14ac:dyDescent="0.25">
      <c r="A53" t="s">
        <v>308</v>
      </c>
      <c r="B53">
        <v>55</v>
      </c>
    </row>
    <row r="54" spans="1:2" x14ac:dyDescent="0.25">
      <c r="A54" t="s">
        <v>309</v>
      </c>
      <c r="B54">
        <v>57</v>
      </c>
    </row>
    <row r="55" spans="1:2" x14ac:dyDescent="0.25">
      <c r="A55" t="s">
        <v>310</v>
      </c>
      <c r="B55">
        <v>58</v>
      </c>
    </row>
    <row r="56" spans="1:2" x14ac:dyDescent="0.25">
      <c r="A56" t="s">
        <v>311</v>
      </c>
      <c r="B56">
        <v>59</v>
      </c>
    </row>
    <row r="57" spans="1:2" x14ac:dyDescent="0.25">
      <c r="A57" t="s">
        <v>312</v>
      </c>
      <c r="B57">
        <v>60</v>
      </c>
    </row>
    <row r="58" spans="1:2" x14ac:dyDescent="0.25">
      <c r="A58" t="s">
        <v>313</v>
      </c>
      <c r="B58">
        <v>62</v>
      </c>
    </row>
    <row r="59" spans="1:2" x14ac:dyDescent="0.25">
      <c r="A59" t="s">
        <v>314</v>
      </c>
      <c r="B59">
        <v>63</v>
      </c>
    </row>
    <row r="60" spans="1:2" x14ac:dyDescent="0.25">
      <c r="A60" t="s">
        <v>315</v>
      </c>
      <c r="B60">
        <v>64</v>
      </c>
    </row>
    <row r="61" spans="1:2" x14ac:dyDescent="0.25">
      <c r="A61" t="s">
        <v>316</v>
      </c>
      <c r="B61">
        <v>65</v>
      </c>
    </row>
    <row r="62" spans="1:2" x14ac:dyDescent="0.25">
      <c r="A62" t="s">
        <v>317</v>
      </c>
      <c r="B62">
        <v>66</v>
      </c>
    </row>
    <row r="63" spans="1:2" x14ac:dyDescent="0.25">
      <c r="A63" t="s">
        <v>318</v>
      </c>
      <c r="B63">
        <v>68</v>
      </c>
    </row>
    <row r="64" spans="1:2" x14ac:dyDescent="0.25">
      <c r="A64" t="s">
        <v>319</v>
      </c>
      <c r="B64">
        <v>69</v>
      </c>
    </row>
    <row r="65" spans="1:24" x14ac:dyDescent="0.25">
      <c r="A65" t="s">
        <v>320</v>
      </c>
      <c r="B65">
        <v>70</v>
      </c>
    </row>
    <row r="66" spans="1:24" x14ac:dyDescent="0.25">
      <c r="A66" t="s">
        <v>321</v>
      </c>
      <c r="B66">
        <v>71</v>
      </c>
    </row>
    <row r="67" spans="1:24" x14ac:dyDescent="0.25">
      <c r="A67" t="s">
        <v>322</v>
      </c>
      <c r="B67">
        <v>72</v>
      </c>
    </row>
    <row r="68" spans="1:24" x14ac:dyDescent="0.25">
      <c r="A68" t="s">
        <v>323</v>
      </c>
      <c r="B68" t="s">
        <v>324</v>
      </c>
    </row>
    <row r="69" spans="1:24" x14ac:dyDescent="0.25">
      <c r="A69" t="s">
        <v>325</v>
      </c>
      <c r="B69" t="s">
        <v>326</v>
      </c>
    </row>
    <row r="70" spans="1:24" x14ac:dyDescent="0.25">
      <c r="A70" t="s">
        <v>327</v>
      </c>
      <c r="B70" t="s">
        <v>328</v>
      </c>
    </row>
    <row r="71" spans="1:24" x14ac:dyDescent="0.25">
      <c r="A71" t="s">
        <v>329</v>
      </c>
      <c r="B71" t="s">
        <v>330</v>
      </c>
    </row>
    <row r="72" spans="1:24" x14ac:dyDescent="0.25">
      <c r="A72" t="s">
        <v>331</v>
      </c>
      <c r="B72" t="s">
        <v>332</v>
      </c>
    </row>
    <row r="73" spans="1:24" x14ac:dyDescent="0.25">
      <c r="A73" t="s">
        <v>333</v>
      </c>
      <c r="B73" t="s">
        <v>334</v>
      </c>
    </row>
    <row r="74" spans="1:24" x14ac:dyDescent="0.25">
      <c r="A74" t="s">
        <v>335</v>
      </c>
      <c r="B74" t="s">
        <v>336</v>
      </c>
    </row>
    <row r="75" spans="1:24" x14ac:dyDescent="0.25">
      <c r="A75" t="s">
        <v>337</v>
      </c>
      <c r="B75" t="s">
        <v>338</v>
      </c>
    </row>
    <row r="76" spans="1:24" x14ac:dyDescent="0.25">
      <c r="A76" t="s">
        <v>339</v>
      </c>
      <c r="B76" t="s">
        <v>340</v>
      </c>
    </row>
    <row r="77" spans="1:24" x14ac:dyDescent="0.25">
      <c r="A77" t="s">
        <v>341</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5">
      <c r="A78" t="s">
        <v>342</v>
      </c>
      <c r="B78">
        <v>1</v>
      </c>
    </row>
    <row r="79" spans="1:24" x14ac:dyDescent="0.25">
      <c r="A79" t="s">
        <v>343</v>
      </c>
      <c r="B79">
        <v>2</v>
      </c>
    </row>
    <row r="80" spans="1:24" x14ac:dyDescent="0.25">
      <c r="A80" t="s">
        <v>344</v>
      </c>
      <c r="B80">
        <v>3</v>
      </c>
    </row>
    <row r="81" spans="1:2" x14ac:dyDescent="0.25">
      <c r="A81" t="s">
        <v>345</v>
      </c>
      <c r="B81">
        <v>4</v>
      </c>
    </row>
    <row r="82" spans="1:2" x14ac:dyDescent="0.25">
      <c r="A82" t="s">
        <v>346</v>
      </c>
      <c r="B82">
        <v>5</v>
      </c>
    </row>
    <row r="83" spans="1:2" x14ac:dyDescent="0.25">
      <c r="A83" t="s">
        <v>347</v>
      </c>
      <c r="B83">
        <v>6</v>
      </c>
    </row>
    <row r="84" spans="1:2" x14ac:dyDescent="0.25">
      <c r="A84" t="s">
        <v>348</v>
      </c>
      <c r="B84">
        <v>8</v>
      </c>
    </row>
    <row r="85" spans="1:2" x14ac:dyDescent="0.25">
      <c r="A85" t="s">
        <v>349</v>
      </c>
      <c r="B85">
        <v>9</v>
      </c>
    </row>
    <row r="86" spans="1:2" x14ac:dyDescent="0.25">
      <c r="A86" t="s">
        <v>350</v>
      </c>
      <c r="B86">
        <v>10</v>
      </c>
    </row>
    <row r="87" spans="1:2" x14ac:dyDescent="0.25">
      <c r="A87" t="s">
        <v>351</v>
      </c>
      <c r="B87">
        <v>11</v>
      </c>
    </row>
    <row r="88" spans="1:2" x14ac:dyDescent="0.25">
      <c r="A88" t="s">
        <v>352</v>
      </c>
      <c r="B88">
        <v>12</v>
      </c>
    </row>
    <row r="89" spans="1:2" x14ac:dyDescent="0.25">
      <c r="A89" t="s">
        <v>353</v>
      </c>
      <c r="B89">
        <v>13</v>
      </c>
    </row>
    <row r="90" spans="1:2" x14ac:dyDescent="0.25">
      <c r="A90" t="s">
        <v>354</v>
      </c>
      <c r="B90">
        <v>14</v>
      </c>
    </row>
    <row r="91" spans="1:2" x14ac:dyDescent="0.25">
      <c r="A91" t="s">
        <v>355</v>
      </c>
      <c r="B91">
        <v>15</v>
      </c>
    </row>
    <row r="92" spans="1:2" x14ac:dyDescent="0.25">
      <c r="A92" t="s">
        <v>356</v>
      </c>
      <c r="B92">
        <v>16</v>
      </c>
    </row>
    <row r="93" spans="1:2" x14ac:dyDescent="0.25">
      <c r="A93" t="s">
        <v>357</v>
      </c>
      <c r="B93">
        <v>17</v>
      </c>
    </row>
    <row r="94" spans="1:2" x14ac:dyDescent="0.25">
      <c r="A94" t="s">
        <v>358</v>
      </c>
      <c r="B94">
        <v>18</v>
      </c>
    </row>
    <row r="95" spans="1:2" x14ac:dyDescent="0.25">
      <c r="A95" t="s">
        <v>359</v>
      </c>
      <c r="B95">
        <v>19</v>
      </c>
    </row>
    <row r="96" spans="1:2" x14ac:dyDescent="0.25">
      <c r="A96" t="s">
        <v>360</v>
      </c>
      <c r="B96">
        <v>20</v>
      </c>
    </row>
    <row r="97" spans="1:2" x14ac:dyDescent="0.25">
      <c r="A97" t="s">
        <v>361</v>
      </c>
      <c r="B97">
        <v>21</v>
      </c>
    </row>
    <row r="98" spans="1:2" x14ac:dyDescent="0.25">
      <c r="A98" t="s">
        <v>362</v>
      </c>
      <c r="B98">
        <v>22</v>
      </c>
    </row>
    <row r="99" spans="1:2" x14ac:dyDescent="0.25">
      <c r="A99" t="s">
        <v>363</v>
      </c>
      <c r="B99">
        <v>23</v>
      </c>
    </row>
    <row r="100" spans="1:2" x14ac:dyDescent="0.25">
      <c r="A100" t="s">
        <v>364</v>
      </c>
      <c r="B100">
        <v>24</v>
      </c>
    </row>
    <row r="101" spans="1:2" x14ac:dyDescent="0.25">
      <c r="A101" t="s">
        <v>365</v>
      </c>
      <c r="B101">
        <v>25</v>
      </c>
    </row>
    <row r="102" spans="1:2" x14ac:dyDescent="0.25">
      <c r="A102" t="s">
        <v>366</v>
      </c>
      <c r="B102">
        <v>26</v>
      </c>
    </row>
    <row r="103" spans="1:2" x14ac:dyDescent="0.25">
      <c r="A103" t="s">
        <v>367</v>
      </c>
      <c r="B103">
        <v>27</v>
      </c>
    </row>
    <row r="104" spans="1:2" x14ac:dyDescent="0.25">
      <c r="A104" t="s">
        <v>368</v>
      </c>
      <c r="B104">
        <v>28</v>
      </c>
    </row>
    <row r="105" spans="1:2" x14ac:dyDescent="0.25">
      <c r="A105" t="s">
        <v>369</v>
      </c>
      <c r="B105">
        <v>29</v>
      </c>
    </row>
    <row r="106" spans="1:2" x14ac:dyDescent="0.25">
      <c r="A106" t="s">
        <v>370</v>
      </c>
      <c r="B106">
        <v>31</v>
      </c>
    </row>
    <row r="107" spans="1:2" x14ac:dyDescent="0.25">
      <c r="A107" t="s">
        <v>371</v>
      </c>
      <c r="B107">
        <v>32</v>
      </c>
    </row>
    <row r="108" spans="1:2" x14ac:dyDescent="0.25">
      <c r="A108" t="s">
        <v>372</v>
      </c>
      <c r="B108">
        <v>33</v>
      </c>
    </row>
    <row r="109" spans="1:2" x14ac:dyDescent="0.25">
      <c r="A109" t="s">
        <v>373</v>
      </c>
      <c r="B109">
        <v>34</v>
      </c>
    </row>
    <row r="110" spans="1:2" x14ac:dyDescent="0.25">
      <c r="A110" t="s">
        <v>374</v>
      </c>
      <c r="B110">
        <v>35</v>
      </c>
    </row>
    <row r="111" spans="1:2" x14ac:dyDescent="0.25">
      <c r="A111" t="s">
        <v>375</v>
      </c>
      <c r="B111">
        <v>36</v>
      </c>
    </row>
    <row r="112" spans="1:2" x14ac:dyDescent="0.25">
      <c r="A112" t="s">
        <v>376</v>
      </c>
      <c r="B112">
        <v>37</v>
      </c>
    </row>
    <row r="113" spans="1:2" x14ac:dyDescent="0.25">
      <c r="A113" t="s">
        <v>377</v>
      </c>
      <c r="B113">
        <v>38</v>
      </c>
    </row>
    <row r="114" spans="1:2" x14ac:dyDescent="0.25">
      <c r="A114" t="s">
        <v>378</v>
      </c>
      <c r="B114">
        <v>39</v>
      </c>
    </row>
    <row r="115" spans="1:2" x14ac:dyDescent="0.25">
      <c r="A115" t="s">
        <v>379</v>
      </c>
      <c r="B115">
        <v>40</v>
      </c>
    </row>
    <row r="116" spans="1:2" x14ac:dyDescent="0.25">
      <c r="A116" t="s">
        <v>380</v>
      </c>
      <c r="B116">
        <v>41</v>
      </c>
    </row>
    <row r="117" spans="1:2" x14ac:dyDescent="0.25">
      <c r="A117" t="s">
        <v>381</v>
      </c>
      <c r="B117">
        <v>42</v>
      </c>
    </row>
    <row r="118" spans="1:2" x14ac:dyDescent="0.25">
      <c r="A118" t="s">
        <v>382</v>
      </c>
      <c r="B118">
        <v>43</v>
      </c>
    </row>
    <row r="119" spans="1:2" x14ac:dyDescent="0.25">
      <c r="A119" t="s">
        <v>383</v>
      </c>
      <c r="B119">
        <v>44</v>
      </c>
    </row>
    <row r="120" spans="1:2" x14ac:dyDescent="0.25">
      <c r="A120" t="s">
        <v>384</v>
      </c>
      <c r="B120">
        <v>45</v>
      </c>
    </row>
    <row r="121" spans="1:2" x14ac:dyDescent="0.25">
      <c r="A121" t="s">
        <v>385</v>
      </c>
      <c r="B121">
        <v>46</v>
      </c>
    </row>
    <row r="122" spans="1:2" x14ac:dyDescent="0.25">
      <c r="A122" t="s">
        <v>386</v>
      </c>
      <c r="B122">
        <v>47</v>
      </c>
    </row>
    <row r="123" spans="1:2" x14ac:dyDescent="0.25">
      <c r="A123" t="s">
        <v>387</v>
      </c>
      <c r="B123">
        <v>48</v>
      </c>
    </row>
    <row r="124" spans="1:2" x14ac:dyDescent="0.25">
      <c r="A124" t="s">
        <v>388</v>
      </c>
      <c r="B124">
        <v>49</v>
      </c>
    </row>
    <row r="125" spans="1:2" x14ac:dyDescent="0.25">
      <c r="A125" t="s">
        <v>389</v>
      </c>
      <c r="B125">
        <v>50</v>
      </c>
    </row>
    <row r="126" spans="1:2" x14ac:dyDescent="0.25">
      <c r="A126" t="s">
        <v>390</v>
      </c>
      <c r="B126">
        <v>51</v>
      </c>
    </row>
    <row r="127" spans="1:2" x14ac:dyDescent="0.25">
      <c r="A127" t="s">
        <v>391</v>
      </c>
      <c r="B127">
        <v>52</v>
      </c>
    </row>
    <row r="128" spans="1:2" x14ac:dyDescent="0.25">
      <c r="A128" t="s">
        <v>392</v>
      </c>
      <c r="B128">
        <v>54</v>
      </c>
    </row>
    <row r="129" spans="1:23" x14ac:dyDescent="0.25">
      <c r="A129" t="s">
        <v>393</v>
      </c>
      <c r="B129">
        <v>55</v>
      </c>
    </row>
    <row r="130" spans="1:23" x14ac:dyDescent="0.25">
      <c r="A130" t="s">
        <v>394</v>
      </c>
      <c r="B130">
        <v>56</v>
      </c>
    </row>
    <row r="131" spans="1:23" x14ac:dyDescent="0.25">
      <c r="A131" t="s">
        <v>395</v>
      </c>
      <c r="B131">
        <v>57</v>
      </c>
    </row>
    <row r="132" spans="1:23" x14ac:dyDescent="0.25">
      <c r="A132" t="s">
        <v>396</v>
      </c>
      <c r="B132">
        <v>58</v>
      </c>
    </row>
    <row r="133" spans="1:23" x14ac:dyDescent="0.25">
      <c r="A133" t="s">
        <v>397</v>
      </c>
      <c r="B133">
        <v>59</v>
      </c>
    </row>
    <row r="134" spans="1:23" x14ac:dyDescent="0.25">
      <c r="A134" t="s">
        <v>398</v>
      </c>
      <c r="B134" t="s">
        <v>399</v>
      </c>
    </row>
    <row r="135" spans="1:23" x14ac:dyDescent="0.25">
      <c r="A135" t="s">
        <v>400</v>
      </c>
      <c r="B135" t="s">
        <v>401</v>
      </c>
    </row>
    <row r="136" spans="1:23" x14ac:dyDescent="0.25">
      <c r="A136" t="s">
        <v>402</v>
      </c>
      <c r="B136" t="s">
        <v>403</v>
      </c>
    </row>
    <row r="137" spans="1:23" x14ac:dyDescent="0.25">
      <c r="A137" t="s">
        <v>404</v>
      </c>
      <c r="B137" t="s">
        <v>405</v>
      </c>
    </row>
    <row r="138" spans="1:23" x14ac:dyDescent="0.25">
      <c r="A138" t="s">
        <v>406</v>
      </c>
      <c r="B138" t="s">
        <v>407</v>
      </c>
    </row>
    <row r="139" spans="1:23" x14ac:dyDescent="0.25">
      <c r="A139" t="s">
        <v>408</v>
      </c>
      <c r="B139" t="s">
        <v>409</v>
      </c>
    </row>
    <row r="140" spans="1:23" x14ac:dyDescent="0.25">
      <c r="A140" t="s">
        <v>410</v>
      </c>
      <c r="B140" t="s">
        <v>411</v>
      </c>
    </row>
    <row r="141" spans="1:23" x14ac:dyDescent="0.25">
      <c r="A141" t="s">
        <v>412</v>
      </c>
      <c r="B141" t="s">
        <v>413</v>
      </c>
    </row>
    <row r="142" spans="1:23" x14ac:dyDescent="0.25">
      <c r="A142" t="s">
        <v>414</v>
      </c>
      <c r="B142" t="s">
        <v>415</v>
      </c>
    </row>
    <row r="143" spans="1:23" x14ac:dyDescent="0.25">
      <c r="A143" t="s">
        <v>416</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5">
      <c r="A144" t="s">
        <v>417</v>
      </c>
      <c r="B144">
        <v>1</v>
      </c>
    </row>
    <row r="145" spans="1:2" x14ac:dyDescent="0.25">
      <c r="A145" t="s">
        <v>418</v>
      </c>
      <c r="B145">
        <v>2</v>
      </c>
    </row>
    <row r="146" spans="1:2" x14ac:dyDescent="0.25">
      <c r="A146" t="s">
        <v>419</v>
      </c>
      <c r="B146">
        <v>3</v>
      </c>
    </row>
    <row r="147" spans="1:2" x14ac:dyDescent="0.25">
      <c r="A147" t="s">
        <v>420</v>
      </c>
      <c r="B147">
        <v>4</v>
      </c>
    </row>
    <row r="148" spans="1:2" x14ac:dyDescent="0.25">
      <c r="A148" t="s">
        <v>421</v>
      </c>
      <c r="B148">
        <v>5</v>
      </c>
    </row>
    <row r="149" spans="1:2" x14ac:dyDescent="0.25">
      <c r="A149" t="s">
        <v>422</v>
      </c>
      <c r="B149">
        <v>6</v>
      </c>
    </row>
    <row r="150" spans="1:2" x14ac:dyDescent="0.25">
      <c r="A150" t="s">
        <v>423</v>
      </c>
      <c r="B150">
        <v>8</v>
      </c>
    </row>
    <row r="151" spans="1:2" x14ac:dyDescent="0.25">
      <c r="A151" t="s">
        <v>424</v>
      </c>
      <c r="B151">
        <v>9</v>
      </c>
    </row>
    <row r="152" spans="1:2" x14ac:dyDescent="0.25">
      <c r="A152" t="s">
        <v>425</v>
      </c>
      <c r="B152">
        <v>10</v>
      </c>
    </row>
    <row r="153" spans="1:2" x14ac:dyDescent="0.25">
      <c r="A153" t="s">
        <v>426</v>
      </c>
      <c r="B153">
        <v>11</v>
      </c>
    </row>
    <row r="154" spans="1:2" x14ac:dyDescent="0.25">
      <c r="A154" t="s">
        <v>427</v>
      </c>
      <c r="B154">
        <v>12</v>
      </c>
    </row>
    <row r="155" spans="1:2" x14ac:dyDescent="0.25">
      <c r="A155" t="s">
        <v>428</v>
      </c>
      <c r="B155">
        <v>13</v>
      </c>
    </row>
    <row r="156" spans="1:2" x14ac:dyDescent="0.25">
      <c r="A156" t="s">
        <v>429</v>
      </c>
      <c r="B156">
        <v>14</v>
      </c>
    </row>
    <row r="157" spans="1:2" x14ac:dyDescent="0.25">
      <c r="A157" t="s">
        <v>430</v>
      </c>
      <c r="B157">
        <v>15</v>
      </c>
    </row>
    <row r="158" spans="1:2" x14ac:dyDescent="0.25">
      <c r="A158" t="s">
        <v>431</v>
      </c>
      <c r="B158">
        <v>16</v>
      </c>
    </row>
    <row r="159" spans="1:2" x14ac:dyDescent="0.25">
      <c r="A159" t="s">
        <v>432</v>
      </c>
      <c r="B159">
        <v>17</v>
      </c>
    </row>
    <row r="160" spans="1:2" x14ac:dyDescent="0.25">
      <c r="A160" t="s">
        <v>433</v>
      </c>
      <c r="B160">
        <v>18</v>
      </c>
    </row>
    <row r="161" spans="1:2" x14ac:dyDescent="0.25">
      <c r="A161" t="s">
        <v>434</v>
      </c>
      <c r="B161">
        <v>19</v>
      </c>
    </row>
    <row r="162" spans="1:2" x14ac:dyDescent="0.25">
      <c r="A162" t="s">
        <v>435</v>
      </c>
      <c r="B162">
        <v>20</v>
      </c>
    </row>
    <row r="163" spans="1:2" x14ac:dyDescent="0.25">
      <c r="A163" t="s">
        <v>436</v>
      </c>
      <c r="B163">
        <v>21</v>
      </c>
    </row>
    <row r="164" spans="1:2" x14ac:dyDescent="0.25">
      <c r="A164" t="s">
        <v>437</v>
      </c>
      <c r="B164">
        <v>22</v>
      </c>
    </row>
    <row r="165" spans="1:2" x14ac:dyDescent="0.25">
      <c r="A165" t="s">
        <v>438</v>
      </c>
      <c r="B165">
        <v>23</v>
      </c>
    </row>
    <row r="166" spans="1:2" x14ac:dyDescent="0.25">
      <c r="A166" t="s">
        <v>439</v>
      </c>
      <c r="B166">
        <v>24</v>
      </c>
    </row>
    <row r="167" spans="1:2" x14ac:dyDescent="0.25">
      <c r="A167" t="s">
        <v>440</v>
      </c>
      <c r="B167">
        <v>25</v>
      </c>
    </row>
    <row r="168" spans="1:2" x14ac:dyDescent="0.25">
      <c r="A168" t="s">
        <v>441</v>
      </c>
      <c r="B168">
        <v>26</v>
      </c>
    </row>
    <row r="169" spans="1:2" x14ac:dyDescent="0.25">
      <c r="A169" t="s">
        <v>442</v>
      </c>
      <c r="B169">
        <v>27</v>
      </c>
    </row>
    <row r="170" spans="1:2" x14ac:dyDescent="0.25">
      <c r="A170" t="s">
        <v>443</v>
      </c>
      <c r="B170">
        <v>28</v>
      </c>
    </row>
    <row r="171" spans="1:2" x14ac:dyDescent="0.25">
      <c r="A171" t="s">
        <v>444</v>
      </c>
      <c r="B171">
        <v>29</v>
      </c>
    </row>
    <row r="172" spans="1:2" x14ac:dyDescent="0.25">
      <c r="A172" t="s">
        <v>445</v>
      </c>
      <c r="B172">
        <v>31</v>
      </c>
    </row>
    <row r="173" spans="1:2" x14ac:dyDescent="0.25">
      <c r="A173" t="s">
        <v>446</v>
      </c>
      <c r="B173">
        <v>32</v>
      </c>
    </row>
    <row r="174" spans="1:2" x14ac:dyDescent="0.25">
      <c r="A174" t="s">
        <v>447</v>
      </c>
      <c r="B174">
        <v>33</v>
      </c>
    </row>
    <row r="175" spans="1:2" x14ac:dyDescent="0.25">
      <c r="A175" t="s">
        <v>448</v>
      </c>
      <c r="B175">
        <v>34</v>
      </c>
    </row>
    <row r="176" spans="1:2" x14ac:dyDescent="0.25">
      <c r="A176" t="s">
        <v>449</v>
      </c>
      <c r="B176">
        <v>35</v>
      </c>
    </row>
    <row r="177" spans="1:2" x14ac:dyDescent="0.25">
      <c r="A177" t="s">
        <v>450</v>
      </c>
      <c r="B177">
        <v>36</v>
      </c>
    </row>
    <row r="178" spans="1:2" x14ac:dyDescent="0.25">
      <c r="A178" t="s">
        <v>451</v>
      </c>
      <c r="B178">
        <v>37</v>
      </c>
    </row>
    <row r="179" spans="1:2" x14ac:dyDescent="0.25">
      <c r="A179" t="s">
        <v>452</v>
      </c>
      <c r="B179">
        <v>38</v>
      </c>
    </row>
    <row r="180" spans="1:2" x14ac:dyDescent="0.25">
      <c r="A180" t="s">
        <v>453</v>
      </c>
      <c r="B180">
        <v>39</v>
      </c>
    </row>
    <row r="181" spans="1:2" x14ac:dyDescent="0.25">
      <c r="A181" t="s">
        <v>454</v>
      </c>
      <c r="B181">
        <v>40</v>
      </c>
    </row>
    <row r="182" spans="1:2" x14ac:dyDescent="0.25">
      <c r="A182" t="s">
        <v>455</v>
      </c>
      <c r="B182">
        <v>41</v>
      </c>
    </row>
    <row r="183" spans="1:2" x14ac:dyDescent="0.25">
      <c r="A183" t="s">
        <v>456</v>
      </c>
      <c r="B183">
        <v>42</v>
      </c>
    </row>
    <row r="184" spans="1:2" x14ac:dyDescent="0.25">
      <c r="A184" t="s">
        <v>457</v>
      </c>
      <c r="B184">
        <v>43</v>
      </c>
    </row>
    <row r="185" spans="1:2" x14ac:dyDescent="0.25">
      <c r="A185" t="s">
        <v>458</v>
      </c>
      <c r="B185">
        <v>44</v>
      </c>
    </row>
    <row r="186" spans="1:2" x14ac:dyDescent="0.25">
      <c r="A186" t="s">
        <v>459</v>
      </c>
      <c r="B186">
        <v>45</v>
      </c>
    </row>
    <row r="187" spans="1:2" x14ac:dyDescent="0.25">
      <c r="A187" t="s">
        <v>460</v>
      </c>
      <c r="B187">
        <v>46</v>
      </c>
    </row>
    <row r="188" spans="1:2" x14ac:dyDescent="0.25">
      <c r="A188" t="s">
        <v>461</v>
      </c>
      <c r="B188">
        <v>47</v>
      </c>
    </row>
    <row r="189" spans="1:2" x14ac:dyDescent="0.25">
      <c r="A189" t="s">
        <v>462</v>
      </c>
      <c r="B189">
        <v>48</v>
      </c>
    </row>
    <row r="190" spans="1:2" x14ac:dyDescent="0.25">
      <c r="A190" t="s">
        <v>463</v>
      </c>
      <c r="B190">
        <v>49</v>
      </c>
    </row>
    <row r="191" spans="1:2" x14ac:dyDescent="0.25">
      <c r="A191" t="s">
        <v>464</v>
      </c>
      <c r="B191">
        <v>50</v>
      </c>
    </row>
    <row r="192" spans="1:2" x14ac:dyDescent="0.25">
      <c r="A192" t="s">
        <v>465</v>
      </c>
      <c r="B192">
        <v>51</v>
      </c>
    </row>
    <row r="193" spans="1:2" x14ac:dyDescent="0.25">
      <c r="A193" t="s">
        <v>466</v>
      </c>
      <c r="B193">
        <v>52</v>
      </c>
    </row>
    <row r="194" spans="1:2" x14ac:dyDescent="0.25">
      <c r="A194" t="s">
        <v>467</v>
      </c>
      <c r="B194">
        <v>54</v>
      </c>
    </row>
    <row r="195" spans="1:2" x14ac:dyDescent="0.25">
      <c r="A195" t="s">
        <v>468</v>
      </c>
      <c r="B195">
        <v>55</v>
      </c>
    </row>
    <row r="196" spans="1:2" x14ac:dyDescent="0.25">
      <c r="A196" t="s">
        <v>469</v>
      </c>
      <c r="B196">
        <v>56</v>
      </c>
    </row>
    <row r="197" spans="1:2" x14ac:dyDescent="0.25">
      <c r="A197" t="s">
        <v>470</v>
      </c>
      <c r="B197">
        <v>57</v>
      </c>
    </row>
    <row r="198" spans="1:2" x14ac:dyDescent="0.25">
      <c r="A198" t="s">
        <v>471</v>
      </c>
      <c r="B198">
        <v>58</v>
      </c>
    </row>
    <row r="199" spans="1:2" x14ac:dyDescent="0.25">
      <c r="A199" t="s">
        <v>472</v>
      </c>
      <c r="B199">
        <v>59</v>
      </c>
    </row>
    <row r="200" spans="1:2" x14ac:dyDescent="0.25">
      <c r="A200" t="s">
        <v>473</v>
      </c>
      <c r="B200" t="s">
        <v>474</v>
      </c>
    </row>
    <row r="201" spans="1:2" x14ac:dyDescent="0.25">
      <c r="A201" t="s">
        <v>475</v>
      </c>
      <c r="B201" t="s">
        <v>476</v>
      </c>
    </row>
    <row r="202" spans="1:2" x14ac:dyDescent="0.25">
      <c r="A202" t="s">
        <v>477</v>
      </c>
      <c r="B202" t="s">
        <v>478</v>
      </c>
    </row>
    <row r="203" spans="1:2" x14ac:dyDescent="0.25">
      <c r="A203" t="s">
        <v>479</v>
      </c>
      <c r="B203" t="s">
        <v>480</v>
      </c>
    </row>
    <row r="204" spans="1:2" x14ac:dyDescent="0.25">
      <c r="A204" t="s">
        <v>481</v>
      </c>
      <c r="B204" t="s">
        <v>482</v>
      </c>
    </row>
    <row r="205" spans="1:2" x14ac:dyDescent="0.25">
      <c r="A205" t="s">
        <v>483</v>
      </c>
      <c r="B205" t="s">
        <v>484</v>
      </c>
    </row>
    <row r="206" spans="1:2" x14ac:dyDescent="0.25">
      <c r="A206" t="s">
        <v>485</v>
      </c>
      <c r="B206" t="s">
        <v>486</v>
      </c>
    </row>
    <row r="207" spans="1:2" x14ac:dyDescent="0.25">
      <c r="A207" t="s">
        <v>487</v>
      </c>
      <c r="B207" t="s">
        <v>488</v>
      </c>
    </row>
    <row r="208" spans="1:2" x14ac:dyDescent="0.25">
      <c r="A208" t="s">
        <v>489</v>
      </c>
      <c r="B208" t="s">
        <v>490</v>
      </c>
    </row>
    <row r="209" spans="1:23" x14ac:dyDescent="0.25">
      <c r="A209" t="s">
        <v>491</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5">
      <c r="A210" t="s">
        <v>492</v>
      </c>
      <c r="B210">
        <v>1</v>
      </c>
    </row>
    <row r="211" spans="1:23" x14ac:dyDescent="0.25">
      <c r="A211" t="s">
        <v>493</v>
      </c>
      <c r="B211">
        <v>2</v>
      </c>
    </row>
    <row r="212" spans="1:23" x14ac:dyDescent="0.25">
      <c r="A212" t="s">
        <v>494</v>
      </c>
      <c r="B212">
        <v>3</v>
      </c>
    </row>
    <row r="213" spans="1:23" x14ac:dyDescent="0.25">
      <c r="A213" t="s">
        <v>495</v>
      </c>
      <c r="B213">
        <v>4</v>
      </c>
    </row>
    <row r="214" spans="1:23" x14ac:dyDescent="0.25">
      <c r="A214" t="s">
        <v>496</v>
      </c>
      <c r="B214">
        <v>5</v>
      </c>
    </row>
    <row r="215" spans="1:23" x14ac:dyDescent="0.25">
      <c r="A215" t="s">
        <v>497</v>
      </c>
      <c r="B215">
        <v>6</v>
      </c>
    </row>
    <row r="216" spans="1:23" x14ac:dyDescent="0.25">
      <c r="A216" t="s">
        <v>498</v>
      </c>
      <c r="B216">
        <v>7</v>
      </c>
    </row>
    <row r="217" spans="1:23" x14ac:dyDescent="0.25">
      <c r="A217" t="s">
        <v>499</v>
      </c>
      <c r="B217">
        <v>9</v>
      </c>
    </row>
    <row r="218" spans="1:23" x14ac:dyDescent="0.25">
      <c r="A218" t="s">
        <v>500</v>
      </c>
      <c r="B218">
        <v>10</v>
      </c>
    </row>
    <row r="219" spans="1:23" x14ac:dyDescent="0.25">
      <c r="A219" t="s">
        <v>501</v>
      </c>
      <c r="B219">
        <v>11</v>
      </c>
    </row>
    <row r="220" spans="1:23" x14ac:dyDescent="0.25">
      <c r="A220" t="s">
        <v>502</v>
      </c>
      <c r="B220">
        <v>12</v>
      </c>
    </row>
    <row r="221" spans="1:23" x14ac:dyDescent="0.25">
      <c r="A221" t="s">
        <v>503</v>
      </c>
      <c r="B221">
        <v>13</v>
      </c>
    </row>
    <row r="222" spans="1:23" x14ac:dyDescent="0.25">
      <c r="A222" t="s">
        <v>504</v>
      </c>
      <c r="B222">
        <v>14</v>
      </c>
    </row>
    <row r="223" spans="1:23" x14ac:dyDescent="0.25">
      <c r="A223" t="s">
        <v>505</v>
      </c>
      <c r="B223">
        <v>15</v>
      </c>
    </row>
    <row r="224" spans="1:23" x14ac:dyDescent="0.25">
      <c r="A224" t="s">
        <v>506</v>
      </c>
      <c r="B224">
        <v>16</v>
      </c>
    </row>
    <row r="225" spans="1:2" x14ac:dyDescent="0.25">
      <c r="A225" t="s">
        <v>507</v>
      </c>
      <c r="B225">
        <v>17</v>
      </c>
    </row>
    <row r="226" spans="1:2" x14ac:dyDescent="0.25">
      <c r="A226" t="s">
        <v>508</v>
      </c>
      <c r="B226">
        <v>18</v>
      </c>
    </row>
    <row r="227" spans="1:2" x14ac:dyDescent="0.25">
      <c r="A227" t="s">
        <v>509</v>
      </c>
      <c r="B227">
        <v>19</v>
      </c>
    </row>
    <row r="228" spans="1:2" x14ac:dyDescent="0.25">
      <c r="A228" t="s">
        <v>510</v>
      </c>
      <c r="B228">
        <v>20</v>
      </c>
    </row>
    <row r="229" spans="1:2" x14ac:dyDescent="0.25">
      <c r="A229" t="s">
        <v>511</v>
      </c>
      <c r="B229">
        <v>21</v>
      </c>
    </row>
    <row r="230" spans="1:2" x14ac:dyDescent="0.25">
      <c r="A230" t="s">
        <v>512</v>
      </c>
      <c r="B230">
        <v>22</v>
      </c>
    </row>
    <row r="231" spans="1:2" x14ac:dyDescent="0.25">
      <c r="A231" t="s">
        <v>513</v>
      </c>
      <c r="B231">
        <v>23</v>
      </c>
    </row>
    <row r="232" spans="1:2" x14ac:dyDescent="0.25">
      <c r="A232" t="s">
        <v>514</v>
      </c>
      <c r="B232">
        <v>24</v>
      </c>
    </row>
    <row r="233" spans="1:2" x14ac:dyDescent="0.25">
      <c r="A233" t="s">
        <v>515</v>
      </c>
      <c r="B233">
        <v>25</v>
      </c>
    </row>
    <row r="234" spans="1:2" x14ac:dyDescent="0.25">
      <c r="A234" t="s">
        <v>516</v>
      </c>
      <c r="B234">
        <v>26</v>
      </c>
    </row>
    <row r="235" spans="1:2" x14ac:dyDescent="0.25">
      <c r="A235" t="s">
        <v>517</v>
      </c>
      <c r="B235">
        <v>27</v>
      </c>
    </row>
    <row r="236" spans="1:2" x14ac:dyDescent="0.25">
      <c r="A236" t="s">
        <v>518</v>
      </c>
      <c r="B236">
        <v>28</v>
      </c>
    </row>
    <row r="237" spans="1:2" x14ac:dyDescent="0.25">
      <c r="A237" t="s">
        <v>519</v>
      </c>
      <c r="B237">
        <v>29</v>
      </c>
    </row>
    <row r="238" spans="1:2" x14ac:dyDescent="0.25">
      <c r="A238" t="s">
        <v>520</v>
      </c>
      <c r="B238">
        <v>30</v>
      </c>
    </row>
    <row r="239" spans="1:2" x14ac:dyDescent="0.25">
      <c r="A239" t="s">
        <v>521</v>
      </c>
      <c r="B239">
        <v>31</v>
      </c>
    </row>
    <row r="240" spans="1:2" x14ac:dyDescent="0.25">
      <c r="A240" t="s">
        <v>522</v>
      </c>
      <c r="B240">
        <v>33</v>
      </c>
    </row>
    <row r="241" spans="1:2" x14ac:dyDescent="0.25">
      <c r="A241" t="s">
        <v>523</v>
      </c>
      <c r="B241">
        <v>34</v>
      </c>
    </row>
    <row r="242" spans="1:2" x14ac:dyDescent="0.25">
      <c r="A242" t="s">
        <v>524</v>
      </c>
      <c r="B242">
        <v>35</v>
      </c>
    </row>
    <row r="243" spans="1:2" x14ac:dyDescent="0.25">
      <c r="A243" t="s">
        <v>525</v>
      </c>
      <c r="B243">
        <v>36</v>
      </c>
    </row>
    <row r="244" spans="1:2" x14ac:dyDescent="0.25">
      <c r="A244" t="s">
        <v>526</v>
      </c>
      <c r="B244">
        <v>37</v>
      </c>
    </row>
    <row r="245" spans="1:2" x14ac:dyDescent="0.25">
      <c r="A245" t="s">
        <v>527</v>
      </c>
      <c r="B245">
        <v>38</v>
      </c>
    </row>
    <row r="246" spans="1:2" x14ac:dyDescent="0.25">
      <c r="A246" t="s">
        <v>528</v>
      </c>
      <c r="B246">
        <v>39</v>
      </c>
    </row>
    <row r="247" spans="1:2" x14ac:dyDescent="0.25">
      <c r="A247" t="s">
        <v>529</v>
      </c>
      <c r="B247">
        <v>40</v>
      </c>
    </row>
    <row r="248" spans="1:2" x14ac:dyDescent="0.25">
      <c r="A248" t="s">
        <v>530</v>
      </c>
      <c r="B248">
        <v>41</v>
      </c>
    </row>
    <row r="249" spans="1:2" x14ac:dyDescent="0.25">
      <c r="A249" t="s">
        <v>531</v>
      </c>
      <c r="B249">
        <v>42</v>
      </c>
    </row>
    <row r="250" spans="1:2" x14ac:dyDescent="0.25">
      <c r="A250" t="s">
        <v>532</v>
      </c>
      <c r="B250">
        <v>43</v>
      </c>
    </row>
    <row r="251" spans="1:2" x14ac:dyDescent="0.25">
      <c r="A251" t="s">
        <v>533</v>
      </c>
      <c r="B251">
        <v>44</v>
      </c>
    </row>
    <row r="252" spans="1:2" x14ac:dyDescent="0.25">
      <c r="A252" t="s">
        <v>534</v>
      </c>
      <c r="B252">
        <v>45</v>
      </c>
    </row>
    <row r="253" spans="1:2" x14ac:dyDescent="0.25">
      <c r="A253" t="s">
        <v>535</v>
      </c>
      <c r="B253">
        <v>46</v>
      </c>
    </row>
    <row r="254" spans="1:2" x14ac:dyDescent="0.25">
      <c r="A254" t="s">
        <v>536</v>
      </c>
      <c r="B254">
        <v>47</v>
      </c>
    </row>
    <row r="255" spans="1:2" x14ac:dyDescent="0.25">
      <c r="A255" t="s">
        <v>537</v>
      </c>
      <c r="B255">
        <v>48</v>
      </c>
    </row>
    <row r="256" spans="1:2" x14ac:dyDescent="0.25">
      <c r="A256" t="s">
        <v>538</v>
      </c>
      <c r="B256">
        <v>49</v>
      </c>
    </row>
    <row r="257" spans="1:2" x14ac:dyDescent="0.25">
      <c r="A257" t="s">
        <v>539</v>
      </c>
      <c r="B257">
        <v>50</v>
      </c>
    </row>
    <row r="258" spans="1:2" x14ac:dyDescent="0.25">
      <c r="A258" t="s">
        <v>540</v>
      </c>
      <c r="B258">
        <v>51</v>
      </c>
    </row>
    <row r="259" spans="1:2" x14ac:dyDescent="0.25">
      <c r="A259" t="s">
        <v>541</v>
      </c>
      <c r="B259">
        <v>52</v>
      </c>
    </row>
    <row r="260" spans="1:2" x14ac:dyDescent="0.25">
      <c r="A260" t="s">
        <v>542</v>
      </c>
      <c r="B260">
        <v>53</v>
      </c>
    </row>
    <row r="261" spans="1:2" x14ac:dyDescent="0.25">
      <c r="A261" t="s">
        <v>543</v>
      </c>
      <c r="B261">
        <v>54</v>
      </c>
    </row>
    <row r="262" spans="1:2" x14ac:dyDescent="0.25">
      <c r="A262" t="s">
        <v>544</v>
      </c>
      <c r="B262">
        <v>55</v>
      </c>
    </row>
    <row r="263" spans="1:2" x14ac:dyDescent="0.25">
      <c r="A263" t="s">
        <v>545</v>
      </c>
      <c r="B263">
        <v>57</v>
      </c>
    </row>
    <row r="264" spans="1:2" x14ac:dyDescent="0.25">
      <c r="A264" t="s">
        <v>546</v>
      </c>
      <c r="B264">
        <v>58</v>
      </c>
    </row>
    <row r="265" spans="1:2" x14ac:dyDescent="0.25">
      <c r="A265" t="s">
        <v>547</v>
      </c>
      <c r="B265">
        <v>59</v>
      </c>
    </row>
    <row r="266" spans="1:2" x14ac:dyDescent="0.25">
      <c r="A266" t="s">
        <v>548</v>
      </c>
      <c r="B266">
        <v>60</v>
      </c>
    </row>
    <row r="267" spans="1:2" x14ac:dyDescent="0.25">
      <c r="A267" t="s">
        <v>549</v>
      </c>
      <c r="B267">
        <v>62</v>
      </c>
    </row>
    <row r="268" spans="1:2" x14ac:dyDescent="0.25">
      <c r="A268" t="s">
        <v>550</v>
      </c>
      <c r="B268">
        <v>63</v>
      </c>
    </row>
    <row r="269" spans="1:2" x14ac:dyDescent="0.25">
      <c r="A269" t="s">
        <v>551</v>
      </c>
      <c r="B269">
        <v>64</v>
      </c>
    </row>
    <row r="270" spans="1:2" x14ac:dyDescent="0.25">
      <c r="A270" t="s">
        <v>552</v>
      </c>
      <c r="B270">
        <v>65</v>
      </c>
    </row>
    <row r="271" spans="1:2" x14ac:dyDescent="0.25">
      <c r="A271" t="s">
        <v>553</v>
      </c>
      <c r="B271">
        <v>66</v>
      </c>
    </row>
    <row r="272" spans="1:2" x14ac:dyDescent="0.25">
      <c r="A272" t="s">
        <v>554</v>
      </c>
      <c r="B272">
        <v>68</v>
      </c>
    </row>
    <row r="273" spans="1:24" x14ac:dyDescent="0.25">
      <c r="A273" t="s">
        <v>555</v>
      </c>
      <c r="B273">
        <v>69</v>
      </c>
    </row>
    <row r="274" spans="1:24" x14ac:dyDescent="0.25">
      <c r="A274" t="s">
        <v>556</v>
      </c>
      <c r="B274">
        <v>70</v>
      </c>
    </row>
    <row r="275" spans="1:24" x14ac:dyDescent="0.25">
      <c r="A275" t="s">
        <v>557</v>
      </c>
      <c r="B275">
        <v>71</v>
      </c>
    </row>
    <row r="276" spans="1:24" x14ac:dyDescent="0.25">
      <c r="A276" t="s">
        <v>558</v>
      </c>
      <c r="B276">
        <v>72</v>
      </c>
    </row>
    <row r="277" spans="1:24" x14ac:dyDescent="0.25">
      <c r="A277" t="s">
        <v>559</v>
      </c>
      <c r="B277" t="s">
        <v>560</v>
      </c>
    </row>
    <row r="278" spans="1:24" x14ac:dyDescent="0.25">
      <c r="A278" t="s">
        <v>561</v>
      </c>
      <c r="B278" t="s">
        <v>562</v>
      </c>
    </row>
    <row r="279" spans="1:24" x14ac:dyDescent="0.25">
      <c r="A279" t="s">
        <v>563</v>
      </c>
      <c r="B279" t="s">
        <v>564</v>
      </c>
    </row>
    <row r="280" spans="1:24" x14ac:dyDescent="0.25">
      <c r="A280" t="s">
        <v>565</v>
      </c>
      <c r="B280" t="s">
        <v>566</v>
      </c>
    </row>
    <row r="281" spans="1:24" x14ac:dyDescent="0.25">
      <c r="A281" t="s">
        <v>567</v>
      </c>
      <c r="B281" t="s">
        <v>568</v>
      </c>
    </row>
    <row r="282" spans="1:24" x14ac:dyDescent="0.25">
      <c r="A282" t="s">
        <v>569</v>
      </c>
      <c r="B282" t="s">
        <v>570</v>
      </c>
    </row>
    <row r="283" spans="1:24" x14ac:dyDescent="0.25">
      <c r="A283" t="s">
        <v>571</v>
      </c>
      <c r="B283" t="s">
        <v>572</v>
      </c>
    </row>
    <row r="284" spans="1:24" x14ac:dyDescent="0.25">
      <c r="A284" t="s">
        <v>573</v>
      </c>
      <c r="B284" t="s">
        <v>574</v>
      </c>
    </row>
    <row r="285" spans="1:24" x14ac:dyDescent="0.25">
      <c r="A285" t="s">
        <v>575</v>
      </c>
      <c r="B285" t="s">
        <v>576</v>
      </c>
    </row>
    <row r="286" spans="1:24" x14ac:dyDescent="0.25">
      <c r="A286" t="s">
        <v>577</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5" zoomScaleNormal="85" workbookViewId="0">
      <pane xSplit="2" ySplit="4" topLeftCell="AE5" activePane="bottomRight" state="frozen"/>
      <selection activeCell="BJ29" sqref="BJ29"/>
      <selection pane="topRight" activeCell="BJ29" sqref="BJ29"/>
      <selection pane="bottomLeft" activeCell="BJ29" sqref="BJ29"/>
      <selection pane="bottomRight" activeCell="AS33" sqref="AS33"/>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2" max="62" width="8.7109375" style="53" customWidth="1"/>
    <col min="63" max="63" width="9.5703125" style="53" customWidth="1"/>
    <col min="64" max="64" width="10.140625" style="53" customWidth="1"/>
  </cols>
  <sheetData>
    <row r="1" spans="1:68" x14ac:dyDescent="0.25">
      <c r="A1" s="75" t="s">
        <v>578</v>
      </c>
      <c r="B1" s="61"/>
      <c r="C1" s="61"/>
      <c r="D1" s="61"/>
      <c r="E1" s="61"/>
      <c r="F1" s="61"/>
      <c r="H1" s="60" t="str">
        <f>Summary!C1</f>
        <v>R7.0 RC8.0</v>
      </c>
      <c r="I1" s="61"/>
      <c r="J1" s="61"/>
      <c r="K1" s="61"/>
      <c r="L1" s="61"/>
      <c r="M1" s="61"/>
      <c r="N1" s="61"/>
      <c r="O1" s="61"/>
      <c r="P1" s="61"/>
      <c r="Q1" s="61"/>
      <c r="R1" s="61"/>
      <c r="S1" s="61"/>
      <c r="T1" s="61"/>
      <c r="U1" s="61"/>
      <c r="V1" s="61"/>
      <c r="W1" s="61"/>
      <c r="X1" s="61"/>
      <c r="Y1" s="61"/>
      <c r="Z1" s="61"/>
      <c r="AA1" s="61"/>
      <c r="AB1" s="61"/>
      <c r="AC1" s="61"/>
      <c r="AE1" s="62" t="str">
        <f>Summary!C2</f>
        <v>R7.0 RC 9.0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586</v>
      </c>
      <c r="V5" s="16" t="s">
        <v>586</v>
      </c>
      <c r="W5" s="16" t="s">
        <v>586</v>
      </c>
      <c r="X5" s="16" t="s">
        <v>586</v>
      </c>
      <c r="Y5" s="16" t="s">
        <v>586</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239</v>
      </c>
    </row>
    <row r="6" spans="1:68" collapsed="1" x14ac:dyDescent="0.25">
      <c r="A6" s="20"/>
      <c r="B6" s="20" t="s">
        <v>59</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586</v>
      </c>
      <c r="V6" s="26" t="s">
        <v>586</v>
      </c>
      <c r="W6" s="26" t="s">
        <v>586</v>
      </c>
      <c r="X6" s="26" t="s">
        <v>586</v>
      </c>
      <c r="Y6" s="26" t="s">
        <v>586</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239</v>
      </c>
    </row>
    <row r="7" spans="1:68" collapsed="1" x14ac:dyDescent="0.25">
      <c r="A7" s="10"/>
      <c r="B7" s="10" t="s">
        <v>64</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586</v>
      </c>
      <c r="V7" s="16" t="s">
        <v>586</v>
      </c>
      <c r="W7" s="16" t="s">
        <v>586</v>
      </c>
      <c r="X7" s="16" t="s">
        <v>586</v>
      </c>
      <c r="Y7" s="16" t="s">
        <v>586</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239</v>
      </c>
    </row>
    <row r="8" spans="1:68" ht="15.75" customHeight="1" collapsed="1" thickBot="1" x14ac:dyDescent="0.3">
      <c r="A8" s="40"/>
      <c r="B8" s="40" t="s">
        <v>70</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586</v>
      </c>
      <c r="V8" s="46" t="s">
        <v>586</v>
      </c>
      <c r="W8" s="46" t="s">
        <v>586</v>
      </c>
      <c r="X8" s="46" t="s">
        <v>586</v>
      </c>
      <c r="Y8" s="46" t="s">
        <v>586</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587</v>
      </c>
    </row>
    <row r="9" spans="1:68" ht="15.75" customHeight="1" collapsed="1" thickBot="1" x14ac:dyDescent="0.3">
      <c r="A9" s="30" t="s">
        <v>246</v>
      </c>
      <c r="B9" s="30" t="s">
        <v>73</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586</v>
      </c>
      <c r="V9" s="36" t="s">
        <v>586</v>
      </c>
      <c r="W9" s="36" t="s">
        <v>586</v>
      </c>
      <c r="X9" s="36" t="s">
        <v>586</v>
      </c>
      <c r="Y9" s="36" t="s">
        <v>586</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244</v>
      </c>
    </row>
    <row r="10" spans="1:68" collapsed="1" x14ac:dyDescent="0.25">
      <c r="A10" s="20" t="s">
        <v>248</v>
      </c>
      <c r="B10" s="20" t="s">
        <v>77</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586</v>
      </c>
      <c r="V10" s="26" t="s">
        <v>586</v>
      </c>
      <c r="W10" s="26" t="s">
        <v>586</v>
      </c>
      <c r="X10" s="26" t="s">
        <v>586</v>
      </c>
      <c r="Y10" s="26" t="s">
        <v>586</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588</v>
      </c>
    </row>
    <row r="11" spans="1:68" ht="15.75" customHeight="1" collapsed="1" thickBot="1" x14ac:dyDescent="0.3">
      <c r="A11" s="30"/>
      <c r="B11" s="30" t="s">
        <v>82</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586</v>
      </c>
      <c r="V11" s="36" t="s">
        <v>586</v>
      </c>
      <c r="W11" s="36" t="s">
        <v>586</v>
      </c>
      <c r="X11" s="36" t="s">
        <v>586</v>
      </c>
      <c r="Y11" s="36" t="s">
        <v>586</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589</v>
      </c>
    </row>
    <row r="12" spans="1:68" x14ac:dyDescent="0.25">
      <c r="B12" s="50" t="s">
        <v>16</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25">
      <c r="B13" s="50" t="s">
        <v>17</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25">
      <c r="B14" s="50" t="s">
        <v>18</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25">
      <c r="B15" s="50" t="s">
        <v>19</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25">
      <c r="A16" s="50" t="s">
        <v>251</v>
      </c>
      <c r="B16" s="50" t="s">
        <v>252</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25">
      <c r="B17" s="50" t="s">
        <v>253</v>
      </c>
      <c r="AW17" s="55">
        <f>AW16/Z16</f>
        <v>0</v>
      </c>
      <c r="AX17" s="55">
        <f>AX16/AA16</f>
        <v>0</v>
      </c>
      <c r="AY17" s="55">
        <f>AY16/AB16</f>
        <v>0</v>
      </c>
      <c r="AZ17" s="55">
        <f>AZ16/AC16</f>
        <v>0</v>
      </c>
    </row>
    <row r="18" spans="2:52" hidden="1" outlineLevel="2" x14ac:dyDescent="0.25">
      <c r="B18" s="50" t="s">
        <v>254</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25">
      <c r="B19" s="50" t="s">
        <v>255</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5" zoomScaleNormal="85" workbookViewId="0">
      <pane xSplit="2" ySplit="4" topLeftCell="AD5" activePane="bottomRight" state="frozen"/>
      <selection activeCell="BJ29" sqref="BJ29"/>
      <selection pane="topRight" activeCell="BJ29" sqref="BJ29"/>
      <selection pane="bottomLeft" activeCell="BJ29" sqref="BJ29"/>
      <selection pane="bottomRight" activeCell="AN5" sqref="AN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3" max="63" width="10.42578125" style="53" customWidth="1"/>
    <col min="64" max="64" width="10.140625" style="53" customWidth="1"/>
  </cols>
  <sheetData>
    <row r="1" spans="1:68" x14ac:dyDescent="0.25">
      <c r="A1" s="75" t="s">
        <v>590</v>
      </c>
      <c r="B1" s="61"/>
      <c r="C1" s="61"/>
      <c r="D1" s="61"/>
      <c r="E1" s="61"/>
      <c r="F1" s="61"/>
      <c r="H1" s="60" t="str">
        <f>Summary!C1</f>
        <v>R7.0 RC8.0</v>
      </c>
      <c r="I1" s="61"/>
      <c r="J1" s="61"/>
      <c r="K1" s="61"/>
      <c r="L1" s="61"/>
      <c r="M1" s="61"/>
      <c r="N1" s="61"/>
      <c r="O1" s="61"/>
      <c r="P1" s="61"/>
      <c r="Q1" s="61"/>
      <c r="R1" s="61"/>
      <c r="S1" s="61"/>
      <c r="T1" s="61"/>
      <c r="U1" s="61"/>
      <c r="V1" s="61"/>
      <c r="W1" s="61"/>
      <c r="X1" s="61"/>
      <c r="Y1" s="61"/>
      <c r="Z1" s="61"/>
      <c r="AA1" s="61"/>
      <c r="AB1" s="61"/>
      <c r="AC1" s="61"/>
      <c r="AE1" s="62" t="str">
        <f>Summary!C2</f>
        <v>R7.0 RC 9.0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586</v>
      </c>
      <c r="V5" s="16" t="s">
        <v>586</v>
      </c>
      <c r="W5" s="16" t="s">
        <v>586</v>
      </c>
      <c r="X5" s="16" t="s">
        <v>586</v>
      </c>
      <c r="Y5" s="16" t="s">
        <v>586</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239</v>
      </c>
    </row>
    <row r="6" spans="1:68" collapsed="1" x14ac:dyDescent="0.25">
      <c r="A6" s="20"/>
      <c r="B6" s="20" t="s">
        <v>59</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586</v>
      </c>
      <c r="V6" s="26" t="s">
        <v>586</v>
      </c>
      <c r="W6" s="26" t="s">
        <v>586</v>
      </c>
      <c r="X6" s="26" t="s">
        <v>586</v>
      </c>
      <c r="Y6" s="26" t="s">
        <v>586</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239</v>
      </c>
    </row>
    <row r="7" spans="1:68" collapsed="1" x14ac:dyDescent="0.25">
      <c r="A7" s="10"/>
      <c r="B7" s="10" t="s">
        <v>64</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586</v>
      </c>
      <c r="V7" s="16" t="s">
        <v>586</v>
      </c>
      <c r="W7" s="16" t="s">
        <v>586</v>
      </c>
      <c r="X7" s="16" t="s">
        <v>586</v>
      </c>
      <c r="Y7" s="16" t="s">
        <v>586</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591</v>
      </c>
    </row>
    <row r="8" spans="1:68" ht="15.75" customHeight="1" collapsed="1" thickBot="1" x14ac:dyDescent="0.3">
      <c r="A8" s="40"/>
      <c r="B8" s="40" t="s">
        <v>70</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586</v>
      </c>
      <c r="V8" s="46" t="s">
        <v>586</v>
      </c>
      <c r="W8" s="46" t="s">
        <v>586</v>
      </c>
      <c r="X8" s="46" t="s">
        <v>586</v>
      </c>
      <c r="Y8" s="46" t="s">
        <v>586</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587</v>
      </c>
    </row>
    <row r="9" spans="1:68" ht="15.75" customHeight="1" collapsed="1" thickBot="1" x14ac:dyDescent="0.3">
      <c r="A9" s="30" t="s">
        <v>246</v>
      </c>
      <c r="B9" s="30" t="s">
        <v>73</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586</v>
      </c>
      <c r="V9" s="36" t="s">
        <v>586</v>
      </c>
      <c r="W9" s="36" t="s">
        <v>586</v>
      </c>
      <c r="X9" s="36" t="s">
        <v>586</v>
      </c>
      <c r="Y9" s="36" t="s">
        <v>586</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592</v>
      </c>
    </row>
    <row r="10" spans="1:68" collapsed="1" x14ac:dyDescent="0.25">
      <c r="A10" s="20" t="s">
        <v>248</v>
      </c>
      <c r="B10" s="20" t="s">
        <v>77</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586</v>
      </c>
      <c r="V10" s="26" t="s">
        <v>586</v>
      </c>
      <c r="W10" s="26" t="s">
        <v>586</v>
      </c>
      <c r="X10" s="26" t="s">
        <v>586</v>
      </c>
      <c r="Y10" s="26" t="s">
        <v>586</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588</v>
      </c>
    </row>
    <row r="11" spans="1:68" ht="15.75" customHeight="1" collapsed="1" thickBot="1" x14ac:dyDescent="0.3">
      <c r="A11" s="30"/>
      <c r="B11" s="30" t="s">
        <v>82</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586</v>
      </c>
      <c r="V11" s="36" t="s">
        <v>586</v>
      </c>
      <c r="W11" s="36" t="s">
        <v>586</v>
      </c>
      <c r="X11" s="36" t="s">
        <v>586</v>
      </c>
      <c r="Y11" s="36" t="s">
        <v>586</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593</v>
      </c>
    </row>
    <row r="12" spans="1:68" x14ac:dyDescent="0.25">
      <c r="B12" s="50" t="s">
        <v>16</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25">
      <c r="B13" s="50" t="s">
        <v>17</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25">
      <c r="B14" s="50" t="s">
        <v>18</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25">
      <c r="B15" s="50" t="s">
        <v>19</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25">
      <c r="A16" s="50" t="s">
        <v>251</v>
      </c>
      <c r="B16" s="50" t="s">
        <v>252</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25">
      <c r="B17" s="50" t="s">
        <v>253</v>
      </c>
      <c r="AW17" s="55">
        <f>AW16/Z16</f>
        <v>0</v>
      </c>
      <c r="AX17" s="55">
        <f>AX16/AA16</f>
        <v>0</v>
      </c>
      <c r="AY17" s="55">
        <f>AY16/AB16</f>
        <v>0</v>
      </c>
      <c r="AZ17" s="55">
        <f>AZ16/AC16</f>
        <v>0</v>
      </c>
    </row>
    <row r="18" spans="2:52" hidden="1" outlineLevel="2" x14ac:dyDescent="0.25">
      <c r="B18" s="50" t="s">
        <v>254</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25">
      <c r="B19" s="50" t="s">
        <v>255</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70" zoomScaleNormal="70" workbookViewId="0">
      <pane xSplit="2" ySplit="4" topLeftCell="T5" activePane="bottomRight" state="frozen"/>
      <selection pane="topRight" activeCell="C1" sqref="C1"/>
      <selection pane="bottomLeft" activeCell="A5" sqref="A5"/>
      <selection pane="bottomRight" activeCell="AQ68" sqref="AQ6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10" style="53" customWidth="1"/>
    <col min="79" max="79" width="10.28515625" style="53" customWidth="1"/>
  </cols>
  <sheetData>
    <row r="1" spans="1:88" x14ac:dyDescent="0.25">
      <c r="A1" s="75" t="s">
        <v>594</v>
      </c>
      <c r="B1" s="61"/>
      <c r="C1" s="61"/>
      <c r="D1" s="61"/>
      <c r="E1" s="61"/>
      <c r="F1" s="61"/>
      <c r="G1" s="61"/>
      <c r="I1" s="60" t="s">
        <v>597</v>
      </c>
      <c r="J1" s="61"/>
      <c r="K1" s="61"/>
      <c r="L1" s="61"/>
      <c r="M1" s="61"/>
      <c r="N1" s="61"/>
      <c r="O1" s="61"/>
      <c r="P1" s="61"/>
      <c r="Q1" s="61"/>
      <c r="R1" s="61"/>
      <c r="S1" s="61"/>
      <c r="T1" s="61"/>
      <c r="U1" s="61"/>
      <c r="V1" s="61"/>
      <c r="W1" s="61"/>
      <c r="X1" s="61"/>
      <c r="Y1" s="61"/>
      <c r="Z1" s="61"/>
      <c r="AA1" s="61"/>
      <c r="AB1" s="61"/>
      <c r="AC1" s="61"/>
      <c r="AD1" s="61"/>
      <c r="AE1" s="61"/>
      <c r="AG1" s="62"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3"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1.0450275</v>
      </c>
      <c r="J5" s="13">
        <f t="shared" ref="J5:J39" si="1">IF(ISBLANK(S5),"·",S5/D5)</f>
        <v>4.4651529155125706E-2</v>
      </c>
      <c r="K5" s="13">
        <f t="shared" ref="K5:K39" si="2">IF(N5="","·",N5/D5)</f>
        <v>3.8707691102280652E-2</v>
      </c>
      <c r="L5" s="13">
        <f t="shared" ref="L5:L39" si="3">IF(T5="","·",T5/D5)</f>
        <v>2.4335511199754883E-2</v>
      </c>
      <c r="M5" s="13">
        <f t="shared" ref="M5:M39" si="4">IF(ISBLANK(V5),"·",V5/D5)</f>
        <v>5.9438380528450564E-3</v>
      </c>
      <c r="N5" s="10">
        <f t="shared" ref="N5:N39" si="5">IF(OR(ISBLANK(T5),ISBLANK(U5)),"",T5+U5)</f>
        <v>966312</v>
      </c>
      <c r="O5" s="13">
        <f t="shared" ref="O5:O39" si="6">IF(ISBLANK(S5),"·",S5/P5)</f>
        <v>4.7268515006376202E-2</v>
      </c>
      <c r="P5" s="14">
        <v>23582209</v>
      </c>
      <c r="Q5" s="14">
        <v>736944.03125</v>
      </c>
      <c r="R5" s="14">
        <v>16792.40625</v>
      </c>
      <c r="S5" s="15">
        <v>1114696</v>
      </c>
      <c r="T5" s="15">
        <v>607520</v>
      </c>
      <c r="U5" s="15">
        <v>358792</v>
      </c>
      <c r="V5" s="15">
        <v>148384</v>
      </c>
      <c r="W5" s="16">
        <v>66.845137499999993</v>
      </c>
      <c r="X5" s="16">
        <v>68.608421874999991</v>
      </c>
      <c r="Y5" s="16">
        <v>31.763540625000001</v>
      </c>
      <c r="Z5" s="16">
        <v>44.651406250000001</v>
      </c>
      <c r="AA5" s="16">
        <v>44.100406250000013</v>
      </c>
      <c r="AB5" s="17">
        <v>3338.96</v>
      </c>
      <c r="AC5" s="17">
        <v>4192.51</v>
      </c>
      <c r="AD5" s="17">
        <v>12.632</v>
      </c>
      <c r="AE5" s="17">
        <v>8.1</v>
      </c>
      <c r="AG5" s="12">
        <f t="shared" ref="AG5:AG39" si="7">IF(OR(ISBLANK(AQ5),ISBLANK(G5)),"·",AQ5*G5/F5/1000000)</f>
        <v>1.2255974999999999</v>
      </c>
      <c r="AH5" s="13">
        <f t="shared" ref="AH5:AH39" si="8">IF(ISBLANK(AQ5),"·",AQ5/D5)</f>
        <v>5.236685398585126E-2</v>
      </c>
      <c r="AI5" s="13">
        <f t="shared" ref="AI5:AI39" si="9">IF(AL5="","·",AL5/D5)</f>
        <v>4.4425286451583078E-2</v>
      </c>
      <c r="AJ5" s="13">
        <f t="shared" ref="AJ5:AJ39" si="10">IF(AR5="","·",AR5/D5)</f>
        <v>2.7155854023945596E-2</v>
      </c>
      <c r="AK5" s="13">
        <f t="shared" ref="AK5:AK39" si="11">IF(ISBLANK(AT5),"·",AT5/D5)</f>
        <v>7.9415675342681784E-3</v>
      </c>
      <c r="AL5" s="10">
        <f t="shared" ref="AL5:AL39" si="12">IF(OR(ISBLANK(AR5),ISBLANK(AS5)),"",AR5+AS5)</f>
        <v>1109048</v>
      </c>
      <c r="AM5" s="13">
        <f t="shared" ref="AM5:AM39" si="13">IF(ISBLANK(AQ5),"·",AQ5/AN5)</f>
        <v>5.5436028066751505E-2</v>
      </c>
      <c r="AN5" s="14">
        <v>23582209</v>
      </c>
      <c r="AO5" s="14">
        <v>736944.03125</v>
      </c>
      <c r="AP5" s="14">
        <v>16792.40625</v>
      </c>
      <c r="AQ5" s="15">
        <v>1307304</v>
      </c>
      <c r="AR5" s="15">
        <v>677928</v>
      </c>
      <c r="AS5" s="15">
        <v>431120</v>
      </c>
      <c r="AT5" s="15">
        <v>198256</v>
      </c>
      <c r="AU5" s="16">
        <v>66.462790624999897</v>
      </c>
      <c r="AV5" s="16">
        <v>67.872321874999997</v>
      </c>
      <c r="AW5" s="16">
        <v>31.584996874999899</v>
      </c>
      <c r="AX5" s="16">
        <v>44.097590625000002</v>
      </c>
      <c r="AY5" s="16">
        <v>43.713253124999902</v>
      </c>
      <c r="AZ5" s="17">
        <v>3224.05</v>
      </c>
      <c r="BA5" s="17">
        <v>4325.63</v>
      </c>
      <c r="BB5" s="17">
        <v>7.54</v>
      </c>
      <c r="BC5" s="17">
        <v>23.04</v>
      </c>
      <c r="BE5" s="18">
        <f t="shared" ref="BE5:BE43" si="14">AI5/K5</f>
        <v>1.147712126104198</v>
      </c>
      <c r="BF5" s="19">
        <f t="shared" ref="BF5:BF39" si="15">(AP5/AO5) - (R5/Q5)</f>
        <v>0</v>
      </c>
      <c r="BG5" s="19">
        <f t="shared" ref="BG5:BG39" si="16">(AL5/AQ5) - (N5/S5)</f>
        <v>-1.8536447132488032E-2</v>
      </c>
      <c r="BH5" s="19">
        <f t="array" ref="BH5">AVERAGE(AL5:AL9/AQ5:AQ9) - AVERAGE(N5:N9/S5:S9)</f>
        <v>-1.2677246491253902E-3</v>
      </c>
      <c r="BJ5" s="18">
        <f>IF( OR(ISBLANK(N5:N9),ISBLANK(AL5:AL9), ISBLANK(W5:W9),ISBLANK(AU5:AU9)), "·", bdRateExtend( N5:N9,W5:W9, AL5:AL9,AU5:AU9))</f>
        <v>0.16607401127502719</v>
      </c>
      <c r="BK5" s="18">
        <f>IF( OR(ISBLANK(N5:N9),ISBLANK(AL5:AL9), ISBLANK(X5:X9),ISBLANK(AV5:AV9)), "·", bdRateExtend( N5:N9,X5:X9, AL5:AL9,AV5:AV9))</f>
        <v>0.17859007373604285</v>
      </c>
      <c r="BL5" s="18">
        <f>IF( OR(ISBLANK(V5:V9),ISBLANK(AT5:AT9), ISBLANK(Y5:Y9),ISBLANK(AW5:AW9)), "·", bdRateExtend( V5:V9,Y5:Y9, AT5:AT9,AW5:AW9))</f>
        <v>0.20507195930616406</v>
      </c>
      <c r="BM5" s="18">
        <f>IF( OR(ISBLANK(V5:V9),ISBLANK(AT5:AT9), ISBLANK(Z5:Z9),ISBLANK(AX5:AX9)), "·", bdRateExtend( V5:V9,Z5:Z9, AT5:AT9,AX5:AX9))</f>
        <v>0.22836487676625428</v>
      </c>
      <c r="BN5" s="18">
        <f>IF( OR(ISBLANK(V5:V9),ISBLANK(AT5:AT9), ISBLANK(AA5:AA9),ISBLANK(AY5:AY9)), "·", bdRateExtend( V5:V9,AA5:AA9, AT5:AT9,AY5:AY9))</f>
        <v>0.25492366155873647</v>
      </c>
      <c r="BP5" s="18">
        <f>IF( OR(ISBLANK(S5:S9),ISBLANK(AQ5:AQ9), ISBLANK(W5:W9),ISBLANK(AU5:AU9)), "·", bdRateExtend( S5:S9,W5:W9, AQ5:AQ9,AU5:AU9))</f>
        <v>0.19305748072061801</v>
      </c>
      <c r="BQ5" s="18">
        <f>IF( OR(ISBLANK(S5:S9),ISBLANK(AQ5:AQ9), ISBLANK(X5:X9),ISBLANK(AV5:AV9)), "·", bdRateExtend( S5:S9,X5:X9, AQ5:AQ9,AV5:AV9))</f>
        <v>0.20761641419260446</v>
      </c>
      <c r="BR5" s="18">
        <f>IF( OR(ISBLANK(S5:S9),ISBLANK(AQ5:AQ9), ISBLANK(Y5:Y9),ISBLANK(AW5:AW9)), "·", bdRateExtend( S5:S9,Y5:Y9, AQ5:AQ9,AW5:AW9))</f>
        <v>0.14034171748193658</v>
      </c>
      <c r="BS5" s="18">
        <f>IF( OR(ISBLANK(S5:S9),ISBLANK(AQ5:AQ9), ISBLANK(Z5:Z9),ISBLANK(AX5:AX9)), "·", bdRateExtend( S5:S9,Z5:Z9, AQ5:AQ9,AX5:AX9))</f>
        <v>0.15212723181676835</v>
      </c>
      <c r="BT5" s="18">
        <f>IF( OR(ISBLANK(S5:S9),ISBLANK(AQ5:AQ9), ISBLANK(AA5:AA9),ISBLANK(AY5:AY9)), "·", bdRateExtend( S5:S9,AA5:AA9, AQ5:AQ9,AY5:AY9))</f>
        <v>0.17056758541284878</v>
      </c>
      <c r="BV5">
        <f t="shared" ref="BV5:BV39" si="17">AN5-P5</f>
        <v>0</v>
      </c>
      <c r="BW5">
        <f t="shared" ref="BW5:BW39" si="18">AO5-Q5</f>
        <v>0</v>
      </c>
      <c r="BX5">
        <f t="shared" ref="BX5:BX39" si="19">AP5-R5</f>
        <v>0</v>
      </c>
      <c r="BY5">
        <f t="shared" ref="BY5:BY39" si="20">AQ5-S5</f>
        <v>192608</v>
      </c>
      <c r="BZ5">
        <f t="shared" ref="BZ5:BZ39" si="21">AR5-T5</f>
        <v>70408</v>
      </c>
      <c r="CA5">
        <f t="shared" ref="CA5:CA39" si="22">AS5-U5</f>
        <v>72328</v>
      </c>
      <c r="CB5">
        <f t="shared" ref="CB5:CB39" si="23">AT5-V5</f>
        <v>49872</v>
      </c>
      <c r="CC5">
        <f t="shared" ref="CC5:CC39" si="24">AU5-W5</f>
        <v>-0.38234687500009557</v>
      </c>
      <c r="CD5">
        <f t="shared" ref="CD5:CD39" si="25">AV5-X5</f>
        <v>-0.73609999999999332</v>
      </c>
      <c r="CE5">
        <f t="shared" ref="CE5:CE39" si="26">AW5-Y5</f>
        <v>-0.17854375000010236</v>
      </c>
      <c r="CF5">
        <f t="shared" ref="CF5:CF39" si="27">AX5-Z5</f>
        <v>-0.55381562499999859</v>
      </c>
      <c r="CG5">
        <f t="shared" ref="CG5:CG39" si="28">AY5-AA5</f>
        <v>-0.38715312500011123</v>
      </c>
      <c r="CJ5" t="s">
        <v>239</v>
      </c>
    </row>
    <row r="6" spans="1:88" outlineLevel="1" x14ac:dyDescent="0.25">
      <c r="A6" s="20"/>
      <c r="B6" s="20" t="s">
        <v>51</v>
      </c>
      <c r="C6" s="21" t="s">
        <v>240</v>
      </c>
      <c r="D6" s="20">
        <v>24964341</v>
      </c>
      <c r="E6" s="21">
        <v>10</v>
      </c>
      <c r="F6" s="21">
        <v>32</v>
      </c>
      <c r="G6" s="21">
        <v>30</v>
      </c>
      <c r="I6" s="22">
        <f t="shared" si="0"/>
        <v>1.36056</v>
      </c>
      <c r="J6" s="23">
        <f t="shared" si="1"/>
        <v>5.8133479269490834E-2</v>
      </c>
      <c r="K6" s="23">
        <f t="shared" si="2"/>
        <v>4.7200124369395531E-2</v>
      </c>
      <c r="L6" s="23">
        <f t="shared" si="3"/>
        <v>3.2827944466869763E-2</v>
      </c>
      <c r="M6" s="23">
        <f t="shared" si="4"/>
        <v>1.09333549000953E-2</v>
      </c>
      <c r="N6" s="20">
        <f t="shared" si="5"/>
        <v>1178320</v>
      </c>
      <c r="O6" s="23">
        <f t="shared" si="6"/>
        <v>5.8571847096283033E-2</v>
      </c>
      <c r="P6" s="24">
        <v>24777501</v>
      </c>
      <c r="Q6" s="24">
        <v>774296.90625</v>
      </c>
      <c r="R6" s="24">
        <v>19737.75</v>
      </c>
      <c r="S6" s="25">
        <v>1451264</v>
      </c>
      <c r="T6" s="25">
        <v>819528</v>
      </c>
      <c r="U6" s="25">
        <v>358792</v>
      </c>
      <c r="V6" s="25">
        <v>272944</v>
      </c>
      <c r="W6" s="26">
        <v>68.551975000000027</v>
      </c>
      <c r="X6" s="26">
        <v>70.611215625000014</v>
      </c>
      <c r="Y6" s="26">
        <v>33.850915625000013</v>
      </c>
      <c r="Z6" s="26">
        <v>45.504371874999997</v>
      </c>
      <c r="AA6" s="26">
        <v>45.226562500000021</v>
      </c>
      <c r="AB6" s="27">
        <v>3345.63</v>
      </c>
      <c r="AC6" s="27">
        <v>4495.74</v>
      </c>
      <c r="AD6" s="27">
        <v>12.252000000000001</v>
      </c>
      <c r="AE6" s="27">
        <v>7.3520000000000003</v>
      </c>
      <c r="AG6" s="22">
        <f t="shared" si="7"/>
        <v>1.5919650000000001</v>
      </c>
      <c r="AH6" s="23">
        <f t="shared" si="8"/>
        <v>6.8020862237060456E-2</v>
      </c>
      <c r="AI6" s="23">
        <f t="shared" si="9"/>
        <v>5.3920109487368403E-2</v>
      </c>
      <c r="AJ6" s="23">
        <f t="shared" si="10"/>
        <v>3.6650677059730921E-2</v>
      </c>
      <c r="AK6" s="23">
        <f t="shared" si="11"/>
        <v>1.4100752749692051E-2</v>
      </c>
      <c r="AL6" s="20">
        <f t="shared" si="12"/>
        <v>1346080</v>
      </c>
      <c r="AM6" s="23">
        <f t="shared" si="13"/>
        <v>6.8533787971595678E-2</v>
      </c>
      <c r="AN6" s="24">
        <v>24777501</v>
      </c>
      <c r="AO6" s="24">
        <v>774296.90625</v>
      </c>
      <c r="AP6" s="24">
        <v>19737.75</v>
      </c>
      <c r="AQ6" s="25">
        <v>1698096</v>
      </c>
      <c r="AR6" s="25">
        <v>914960</v>
      </c>
      <c r="AS6" s="25">
        <v>431120</v>
      </c>
      <c r="AT6" s="25">
        <v>352016</v>
      </c>
      <c r="AU6" s="26">
        <v>68.261125000000007</v>
      </c>
      <c r="AV6" s="26">
        <v>70.112340624999902</v>
      </c>
      <c r="AW6" s="26">
        <v>33.707340625000001</v>
      </c>
      <c r="AX6" s="26">
        <v>45.269781250000001</v>
      </c>
      <c r="AY6" s="26">
        <v>45.035965624999903</v>
      </c>
      <c r="AZ6" s="27">
        <v>3236.75</v>
      </c>
      <c r="BA6" s="27">
        <v>4593.74</v>
      </c>
      <c r="BB6" s="27">
        <v>7.6769999999999996</v>
      </c>
      <c r="BC6" s="27">
        <v>22.757999999999999</v>
      </c>
      <c r="BE6" s="28">
        <f t="shared" si="14"/>
        <v>1.1423721909158802</v>
      </c>
      <c r="BF6" s="29">
        <f t="shared" si="15"/>
        <v>0</v>
      </c>
      <c r="BG6" s="29">
        <f t="shared" si="16"/>
        <v>-1.922711840548641E-2</v>
      </c>
      <c r="BH6" s="29"/>
      <c r="BJ6" s="28"/>
      <c r="BK6" s="28"/>
      <c r="BL6" s="28"/>
      <c r="BM6" s="28"/>
      <c r="BN6" s="28"/>
      <c r="BP6" s="28"/>
      <c r="BQ6" s="28"/>
      <c r="BR6" s="28"/>
      <c r="BS6" s="28"/>
      <c r="BT6" s="28"/>
      <c r="BV6">
        <f t="shared" si="17"/>
        <v>0</v>
      </c>
      <c r="BW6">
        <f t="shared" si="18"/>
        <v>0</v>
      </c>
      <c r="BX6">
        <f t="shared" si="19"/>
        <v>0</v>
      </c>
      <c r="BY6">
        <f t="shared" si="20"/>
        <v>246832</v>
      </c>
      <c r="BZ6">
        <f t="shared" si="21"/>
        <v>95432</v>
      </c>
      <c r="CA6">
        <f t="shared" si="22"/>
        <v>72328</v>
      </c>
      <c r="CB6">
        <f t="shared" si="23"/>
        <v>79072</v>
      </c>
      <c r="CC6">
        <f t="shared" si="24"/>
        <v>-0.29085000000002026</v>
      </c>
      <c r="CD6">
        <f t="shared" si="25"/>
        <v>-0.49887500000011187</v>
      </c>
      <c r="CE6">
        <f t="shared" si="26"/>
        <v>-0.14357500000001266</v>
      </c>
      <c r="CF6">
        <f t="shared" si="27"/>
        <v>-0.23459062499999561</v>
      </c>
      <c r="CG6">
        <f t="shared" si="28"/>
        <v>-0.1905968750001179</v>
      </c>
      <c r="CJ6" t="s">
        <v>239</v>
      </c>
    </row>
    <row r="7" spans="1:88" outlineLevel="1" x14ac:dyDescent="0.25">
      <c r="A7" s="10"/>
      <c r="B7" s="10" t="s">
        <v>51</v>
      </c>
      <c r="C7" s="11" t="s">
        <v>241</v>
      </c>
      <c r="D7" s="10">
        <v>24964341</v>
      </c>
      <c r="E7" s="11">
        <v>10</v>
      </c>
      <c r="F7" s="11">
        <v>32</v>
      </c>
      <c r="G7" s="11">
        <v>30</v>
      </c>
      <c r="I7" s="12">
        <f t="shared" si="0"/>
        <v>1.8947849999999999</v>
      </c>
      <c r="J7" s="13">
        <f t="shared" si="1"/>
        <v>8.0959637588670974E-2</v>
      </c>
      <c r="K7" s="13">
        <f t="shared" si="2"/>
        <v>5.8634353696738882E-2</v>
      </c>
      <c r="L7" s="13">
        <f t="shared" si="3"/>
        <v>4.4262173794213114E-2</v>
      </c>
      <c r="M7" s="13">
        <f t="shared" si="4"/>
        <v>2.2325283891932095E-2</v>
      </c>
      <c r="N7" s="10">
        <f t="shared" si="5"/>
        <v>1463768</v>
      </c>
      <c r="O7" s="13">
        <f t="shared" si="6"/>
        <v>8.1091638706670563E-2</v>
      </c>
      <c r="P7" s="14">
        <v>24923704</v>
      </c>
      <c r="Q7" s="14">
        <v>778865.75</v>
      </c>
      <c r="R7" s="14">
        <v>20929.5625</v>
      </c>
      <c r="S7" s="15">
        <v>2021104</v>
      </c>
      <c r="T7" s="15">
        <v>1104976</v>
      </c>
      <c r="U7" s="15">
        <v>358792</v>
      </c>
      <c r="V7" s="15">
        <v>557336</v>
      </c>
      <c r="W7" s="16">
        <v>69.837631249999987</v>
      </c>
      <c r="X7" s="16">
        <v>72.26194375</v>
      </c>
      <c r="Y7" s="16">
        <v>36.223828125000011</v>
      </c>
      <c r="Z7" s="16">
        <v>46.856606249999977</v>
      </c>
      <c r="AA7" s="16">
        <v>46.589650000000013</v>
      </c>
      <c r="AB7" s="17">
        <v>3334.08</v>
      </c>
      <c r="AC7" s="17">
        <v>4755.9799999999996</v>
      </c>
      <c r="AD7" s="17">
        <v>12.86</v>
      </c>
      <c r="AE7" s="17">
        <v>8.98</v>
      </c>
      <c r="AG7" s="12">
        <f t="shared" si="7"/>
        <v>2.1510224999999998</v>
      </c>
      <c r="AH7" s="13">
        <f t="shared" si="8"/>
        <v>9.1908053971863302E-2</v>
      </c>
      <c r="AI7" s="13">
        <f t="shared" si="9"/>
        <v>6.4779759257414402E-2</v>
      </c>
      <c r="AJ7" s="13">
        <f t="shared" si="10"/>
        <v>4.7510326829776919E-2</v>
      </c>
      <c r="AK7" s="13">
        <f t="shared" si="11"/>
        <v>2.71282947144489E-2</v>
      </c>
      <c r="AL7" s="10">
        <f t="shared" si="12"/>
        <v>1617184</v>
      </c>
      <c r="AM7" s="13">
        <f t="shared" si="13"/>
        <v>9.2057905999846576E-2</v>
      </c>
      <c r="AN7" s="14">
        <v>24923704</v>
      </c>
      <c r="AO7" s="14">
        <v>778865.75</v>
      </c>
      <c r="AP7" s="14">
        <v>20929.5625</v>
      </c>
      <c r="AQ7" s="15">
        <v>2294424</v>
      </c>
      <c r="AR7" s="15">
        <v>1186064</v>
      </c>
      <c r="AS7" s="15">
        <v>431120</v>
      </c>
      <c r="AT7" s="15">
        <v>677240</v>
      </c>
      <c r="AU7" s="16">
        <v>69.757578124999995</v>
      </c>
      <c r="AV7" s="16">
        <v>72.042384374999997</v>
      </c>
      <c r="AW7" s="16">
        <v>36.100565625000002</v>
      </c>
      <c r="AX7" s="16">
        <v>46.777893749999997</v>
      </c>
      <c r="AY7" s="16">
        <v>46.507065625000003</v>
      </c>
      <c r="AZ7" s="17">
        <v>3227.42</v>
      </c>
      <c r="BA7" s="17">
        <v>4888.3999999999996</v>
      </c>
      <c r="BB7" s="17">
        <v>7.6470000000000002</v>
      </c>
      <c r="BC7" s="17">
        <v>23.138999999999999</v>
      </c>
      <c r="BE7" s="18">
        <f t="shared" si="14"/>
        <v>1.1048089587967491</v>
      </c>
      <c r="BF7" s="19">
        <f t="shared" si="15"/>
        <v>0</v>
      </c>
      <c r="BG7" s="19">
        <f t="shared" si="16"/>
        <v>-1.9409563759084425E-2</v>
      </c>
      <c r="BH7" s="19"/>
      <c r="BJ7" s="18"/>
      <c r="BK7" s="18"/>
      <c r="BL7" s="18"/>
      <c r="BM7" s="18"/>
      <c r="BN7" s="18"/>
      <c r="BP7" s="18"/>
      <c r="BQ7" s="18"/>
      <c r="BR7" s="18"/>
      <c r="BS7" s="18"/>
      <c r="BT7" s="18"/>
      <c r="BV7">
        <f t="shared" si="17"/>
        <v>0</v>
      </c>
      <c r="BW7">
        <f t="shared" si="18"/>
        <v>0</v>
      </c>
      <c r="BX7">
        <f t="shared" si="19"/>
        <v>0</v>
      </c>
      <c r="BY7">
        <f t="shared" si="20"/>
        <v>273320</v>
      </c>
      <c r="BZ7">
        <f t="shared" si="21"/>
        <v>81088</v>
      </c>
      <c r="CA7">
        <f t="shared" si="22"/>
        <v>72328</v>
      </c>
      <c r="CB7">
        <f t="shared" si="23"/>
        <v>119904</v>
      </c>
      <c r="CC7">
        <f t="shared" si="24"/>
        <v>-8.0053124999992065E-2</v>
      </c>
      <c r="CD7">
        <f t="shared" si="25"/>
        <v>-0.21955937500000289</v>
      </c>
      <c r="CE7">
        <f t="shared" si="26"/>
        <v>-0.12326250000000982</v>
      </c>
      <c r="CF7">
        <f t="shared" si="27"/>
        <v>-7.8712499999980423E-2</v>
      </c>
      <c r="CG7">
        <f t="shared" si="28"/>
        <v>-8.2584375000010368E-2</v>
      </c>
      <c r="CJ7" t="s">
        <v>239</v>
      </c>
    </row>
    <row r="8" spans="1:88" outlineLevel="1" x14ac:dyDescent="0.25">
      <c r="A8" s="20"/>
      <c r="B8" s="20" t="s">
        <v>51</v>
      </c>
      <c r="C8" s="21" t="s">
        <v>242</v>
      </c>
      <c r="D8" s="20">
        <v>24964341</v>
      </c>
      <c r="E8" s="21">
        <v>10</v>
      </c>
      <c r="F8" s="21">
        <v>32</v>
      </c>
      <c r="G8" s="21">
        <v>30</v>
      </c>
      <c r="I8" s="22">
        <f t="shared" si="0"/>
        <v>3.2266050000000002</v>
      </c>
      <c r="J8" s="23">
        <f t="shared" si="1"/>
        <v>0.13786512530012307</v>
      </c>
      <c r="K8" s="23">
        <f t="shared" si="2"/>
        <v>8.4529209082667159E-2</v>
      </c>
      <c r="L8" s="23">
        <f t="shared" si="3"/>
        <v>7.0157029180141384E-2</v>
      </c>
      <c r="M8" s="23">
        <f t="shared" si="4"/>
        <v>5.3335916217455932E-2</v>
      </c>
      <c r="N8" s="20">
        <f t="shared" si="5"/>
        <v>2110216</v>
      </c>
      <c r="O8" s="23">
        <f t="shared" si="6"/>
        <v>0.13291254483904941</v>
      </c>
      <c r="P8" s="24">
        <v>25894561</v>
      </c>
      <c r="Q8" s="24">
        <v>809205.03125</v>
      </c>
      <c r="R8" s="24">
        <v>24175.5625</v>
      </c>
      <c r="S8" s="25">
        <v>3441712</v>
      </c>
      <c r="T8" s="25">
        <v>1751424</v>
      </c>
      <c r="U8" s="25">
        <v>358792</v>
      </c>
      <c r="V8" s="25">
        <v>1331496</v>
      </c>
      <c r="W8" s="26">
        <v>70.889906250000024</v>
      </c>
      <c r="X8" s="26">
        <v>73.446578125000016</v>
      </c>
      <c r="Y8" s="26">
        <v>38.665531250000001</v>
      </c>
      <c r="Z8" s="26">
        <v>48.045875000000002</v>
      </c>
      <c r="AA8" s="26">
        <v>48.085965624999993</v>
      </c>
      <c r="AB8" s="27">
        <v>3228.18</v>
      </c>
      <c r="AC8" s="27">
        <v>4641.05</v>
      </c>
      <c r="AD8" s="27">
        <v>12.788</v>
      </c>
      <c r="AE8" s="27">
        <v>9.4960000000000004</v>
      </c>
      <c r="AG8" s="22">
        <f t="shared" si="7"/>
        <v>3.5485799999999998</v>
      </c>
      <c r="AH8" s="23">
        <f t="shared" si="8"/>
        <v>0.15162234805236799</v>
      </c>
      <c r="AI8" s="23">
        <f t="shared" si="9"/>
        <v>9.3640444985108956E-2</v>
      </c>
      <c r="AJ8" s="23">
        <f t="shared" si="10"/>
        <v>7.6371012557471474E-2</v>
      </c>
      <c r="AK8" s="23">
        <f t="shared" si="11"/>
        <v>5.7981903067259012E-2</v>
      </c>
      <c r="AL8" s="20">
        <f t="shared" si="12"/>
        <v>2337672</v>
      </c>
      <c r="AM8" s="23">
        <f t="shared" si="13"/>
        <v>0.14617556173282875</v>
      </c>
      <c r="AN8" s="24">
        <v>25894561</v>
      </c>
      <c r="AO8" s="24">
        <v>809205.03125</v>
      </c>
      <c r="AP8" s="24">
        <v>24175.5625</v>
      </c>
      <c r="AQ8" s="25">
        <v>3785152</v>
      </c>
      <c r="AR8" s="25">
        <v>1906552</v>
      </c>
      <c r="AS8" s="25">
        <v>431120</v>
      </c>
      <c r="AT8" s="25">
        <v>1447480</v>
      </c>
      <c r="AU8" s="26">
        <v>70.729849999999999</v>
      </c>
      <c r="AV8" s="26">
        <v>73.234737499999994</v>
      </c>
      <c r="AW8" s="26">
        <v>38.586593749999999</v>
      </c>
      <c r="AX8" s="26">
        <v>48.012893749999897</v>
      </c>
      <c r="AY8" s="26">
        <v>47.923221875000003</v>
      </c>
      <c r="AZ8" s="27">
        <v>3223.63</v>
      </c>
      <c r="BA8" s="27">
        <v>5305.8</v>
      </c>
      <c r="BB8" s="27">
        <v>7.83</v>
      </c>
      <c r="BC8" s="27">
        <v>23.952999999999999</v>
      </c>
      <c r="BE8" s="28">
        <f t="shared" si="14"/>
        <v>1.1077880179090671</v>
      </c>
      <c r="BF8" s="29">
        <f t="shared" si="15"/>
        <v>0</v>
      </c>
      <c r="BG8" s="29">
        <f t="shared" si="16"/>
        <v>4.4602490122848115E-3</v>
      </c>
      <c r="BH8" s="29"/>
      <c r="BJ8" s="28"/>
      <c r="BK8" s="28"/>
      <c r="BL8" s="28"/>
      <c r="BM8" s="28"/>
      <c r="BN8" s="28"/>
      <c r="BP8" s="28"/>
      <c r="BQ8" s="28"/>
      <c r="BR8" s="28"/>
      <c r="BS8" s="28"/>
      <c r="BT8" s="28"/>
      <c r="BV8">
        <f t="shared" si="17"/>
        <v>0</v>
      </c>
      <c r="BW8">
        <f t="shared" si="18"/>
        <v>0</v>
      </c>
      <c r="BX8">
        <f t="shared" si="19"/>
        <v>0</v>
      </c>
      <c r="BY8">
        <f t="shared" si="20"/>
        <v>343440</v>
      </c>
      <c r="BZ8">
        <f t="shared" si="21"/>
        <v>155128</v>
      </c>
      <c r="CA8">
        <f t="shared" si="22"/>
        <v>72328</v>
      </c>
      <c r="CB8">
        <f t="shared" si="23"/>
        <v>115984</v>
      </c>
      <c r="CC8">
        <f t="shared" si="24"/>
        <v>-0.1600562500000251</v>
      </c>
      <c r="CD8">
        <f t="shared" si="25"/>
        <v>-0.21184062500002199</v>
      </c>
      <c r="CE8">
        <f t="shared" si="26"/>
        <v>-7.8937500000002103E-2</v>
      </c>
      <c r="CF8">
        <f t="shared" si="27"/>
        <v>-3.2981250000105433E-2</v>
      </c>
      <c r="CG8">
        <f t="shared" si="28"/>
        <v>-0.16274374999998997</v>
      </c>
      <c r="CJ8" t="s">
        <v>239</v>
      </c>
    </row>
    <row r="9" spans="1:88" ht="15.75" customHeight="1" outlineLevel="1" thickBot="1" x14ac:dyDescent="0.3">
      <c r="A9" s="10"/>
      <c r="B9" s="30" t="s">
        <v>51</v>
      </c>
      <c r="C9" s="31" t="s">
        <v>243</v>
      </c>
      <c r="D9" s="30">
        <v>24964341</v>
      </c>
      <c r="E9" s="31">
        <v>10</v>
      </c>
      <c r="F9" s="31">
        <v>32</v>
      </c>
      <c r="G9" s="31">
        <v>30</v>
      </c>
      <c r="I9" s="32">
        <f t="shared" si="0"/>
        <v>7.1687849999999997</v>
      </c>
      <c r="J9" s="33">
        <f t="shared" si="1"/>
        <v>0.30630506128721763</v>
      </c>
      <c r="K9" s="33">
        <f t="shared" si="2"/>
        <v>0.14852993716116922</v>
      </c>
      <c r="L9" s="33">
        <f t="shared" si="3"/>
        <v>0.11588208957728946</v>
      </c>
      <c r="M9" s="33">
        <f t="shared" si="4"/>
        <v>0.15777512412604844</v>
      </c>
      <c r="N9" s="30">
        <f t="shared" si="5"/>
        <v>3707952</v>
      </c>
      <c r="O9" s="33">
        <f t="shared" si="6"/>
        <v>0.30705760289518302</v>
      </c>
      <c r="P9" s="34">
        <v>24903158</v>
      </c>
      <c r="Q9" s="34">
        <v>778223.6875</v>
      </c>
      <c r="R9" s="34">
        <v>10544.4375</v>
      </c>
      <c r="S9" s="35">
        <v>7646704</v>
      </c>
      <c r="T9" s="35">
        <v>2892920</v>
      </c>
      <c r="U9" s="35">
        <v>815032</v>
      </c>
      <c r="V9" s="35">
        <v>3938752</v>
      </c>
      <c r="W9" s="36">
        <v>71.933821874999978</v>
      </c>
      <c r="X9" s="36">
        <v>75.246843749999996</v>
      </c>
      <c r="Y9" s="36">
        <v>41.085746875000012</v>
      </c>
      <c r="Z9" s="36">
        <v>49.582731250000002</v>
      </c>
      <c r="AA9" s="36">
        <v>49.676743750000007</v>
      </c>
      <c r="AB9" s="37">
        <v>3259.95</v>
      </c>
      <c r="AC9" s="37">
        <v>5261.16</v>
      </c>
      <c r="AD9" s="37">
        <v>12.332000000000001</v>
      </c>
      <c r="AE9" s="37">
        <v>11.692</v>
      </c>
      <c r="AG9" s="32">
        <f t="shared" si="7"/>
        <v>7.0625099999999996</v>
      </c>
      <c r="AH9" s="33">
        <f t="shared" si="8"/>
        <v>0.30176418436200658</v>
      </c>
      <c r="AI9" s="33">
        <f t="shared" si="9"/>
        <v>0.16032211705488239</v>
      </c>
      <c r="AJ9" s="33">
        <f t="shared" si="10"/>
        <v>0.12362593508877322</v>
      </c>
      <c r="AK9" s="33">
        <f t="shared" si="11"/>
        <v>0.14144206730712419</v>
      </c>
      <c r="AL9" s="30">
        <f t="shared" si="12"/>
        <v>4002336</v>
      </c>
      <c r="AM9" s="33">
        <f t="shared" si="13"/>
        <v>0.30250556977552806</v>
      </c>
      <c r="AN9" s="34">
        <v>24903158</v>
      </c>
      <c r="AO9" s="34">
        <v>778223.6875</v>
      </c>
      <c r="AP9" s="34">
        <v>10544.4375</v>
      </c>
      <c r="AQ9" s="35">
        <v>7533344</v>
      </c>
      <c r="AR9" s="35">
        <v>3086240</v>
      </c>
      <c r="AS9" s="35">
        <v>916096</v>
      </c>
      <c r="AT9" s="35">
        <v>3531008</v>
      </c>
      <c r="AU9" s="36">
        <v>71.918362500000001</v>
      </c>
      <c r="AV9" s="36">
        <v>75.147096874999903</v>
      </c>
      <c r="AW9" s="36">
        <v>41.085681249999901</v>
      </c>
      <c r="AX9" s="36">
        <v>49.532503124999998</v>
      </c>
      <c r="AY9" s="36">
        <v>49.602509374999997</v>
      </c>
      <c r="AZ9" s="37">
        <v>3231.54</v>
      </c>
      <c r="BA9" s="37">
        <v>5909.82</v>
      </c>
      <c r="BB9" s="37">
        <v>7.5380000000000003</v>
      </c>
      <c r="BC9" s="37">
        <v>25.308</v>
      </c>
      <c r="BE9" s="38">
        <f t="shared" si="14"/>
        <v>1.0793926134966148</v>
      </c>
      <c r="BF9" s="39">
        <f t="shared" si="15"/>
        <v>0</v>
      </c>
      <c r="BG9" s="39">
        <f t="shared" si="16"/>
        <v>4.6374257039147437E-2</v>
      </c>
      <c r="BH9" s="39"/>
      <c r="BJ9" s="38"/>
      <c r="BK9" s="38"/>
      <c r="BL9" s="38"/>
      <c r="BM9" s="38"/>
      <c r="BN9" s="38"/>
      <c r="BP9" s="38"/>
      <c r="BQ9" s="38"/>
      <c r="BR9" s="38"/>
      <c r="BS9" s="38"/>
      <c r="BT9" s="38"/>
      <c r="BV9">
        <f t="shared" si="17"/>
        <v>0</v>
      </c>
      <c r="BW9">
        <f t="shared" si="18"/>
        <v>0</v>
      </c>
      <c r="BX9">
        <f t="shared" si="19"/>
        <v>0</v>
      </c>
      <c r="BY9">
        <f t="shared" si="20"/>
        <v>-113360</v>
      </c>
      <c r="BZ9">
        <f t="shared" si="21"/>
        <v>193320</v>
      </c>
      <c r="CA9">
        <f t="shared" si="22"/>
        <v>101064</v>
      </c>
      <c r="CB9">
        <f t="shared" si="23"/>
        <v>-407744</v>
      </c>
      <c r="CC9">
        <f t="shared" si="24"/>
        <v>-1.5459374999977626E-2</v>
      </c>
      <c r="CD9">
        <f t="shared" si="25"/>
        <v>-9.9746875000093382E-2</v>
      </c>
      <c r="CE9">
        <f t="shared" si="26"/>
        <v>-6.562500011142447E-5</v>
      </c>
      <c r="CF9">
        <f t="shared" si="27"/>
        <v>-5.0228125000003843E-2</v>
      </c>
      <c r="CG9">
        <f t="shared" si="28"/>
        <v>-7.4234375000010289E-2</v>
      </c>
      <c r="CJ9" t="s">
        <v>239</v>
      </c>
    </row>
    <row r="10" spans="1:88" x14ac:dyDescent="0.25">
      <c r="A10" s="20"/>
      <c r="B10" s="20" t="s">
        <v>59</v>
      </c>
      <c r="C10" s="21" t="s">
        <v>238</v>
      </c>
      <c r="D10" s="20">
        <v>22654789</v>
      </c>
      <c r="E10" s="21">
        <v>10</v>
      </c>
      <c r="F10" s="21">
        <v>32</v>
      </c>
      <c r="G10" s="21">
        <v>30</v>
      </c>
      <c r="I10" s="22">
        <f t="shared" si="0"/>
        <v>1.981965</v>
      </c>
      <c r="J10" s="23">
        <f t="shared" si="1"/>
        <v>9.3317841097526888E-2</v>
      </c>
      <c r="K10" s="23">
        <f t="shared" si="2"/>
        <v>6.9812700528793278E-2</v>
      </c>
      <c r="L10" s="23">
        <f t="shared" si="3"/>
        <v>3.9575914831958929E-2</v>
      </c>
      <c r="M10" s="23">
        <f t="shared" si="4"/>
        <v>2.3505140568733613E-2</v>
      </c>
      <c r="N10" s="20">
        <f t="shared" si="5"/>
        <v>1581592</v>
      </c>
      <c r="O10" s="23">
        <f t="shared" si="6"/>
        <v>0.1009473627815666</v>
      </c>
      <c r="P10" s="24">
        <v>20942558</v>
      </c>
      <c r="Q10" s="24">
        <v>654454.9375</v>
      </c>
      <c r="R10" s="24">
        <v>18627.34375</v>
      </c>
      <c r="S10" s="25">
        <v>2114096</v>
      </c>
      <c r="T10" s="25">
        <v>896584</v>
      </c>
      <c r="U10" s="25">
        <v>685008</v>
      </c>
      <c r="V10" s="25">
        <v>532504</v>
      </c>
      <c r="W10" s="26">
        <v>65.984581250000019</v>
      </c>
      <c r="X10" s="26">
        <v>67.849337500000004</v>
      </c>
      <c r="Y10" s="26">
        <v>31.0182875</v>
      </c>
      <c r="Z10" s="26">
        <v>38.737306250000003</v>
      </c>
      <c r="AA10" s="26">
        <v>30.095768750000001</v>
      </c>
      <c r="AB10" s="27">
        <v>2969.74</v>
      </c>
      <c r="AC10" s="27">
        <v>4721.2</v>
      </c>
      <c r="AD10" s="27">
        <v>11.688000000000001</v>
      </c>
      <c r="AE10" s="27">
        <v>7.6479999999999997</v>
      </c>
      <c r="AG10" s="22">
        <f t="shared" si="7"/>
        <v>2.3171550000000001</v>
      </c>
      <c r="AH10" s="23">
        <f t="shared" si="8"/>
        <v>0.10909975811295351</v>
      </c>
      <c r="AI10" s="23">
        <f t="shared" si="9"/>
        <v>8.1913982955215348E-2</v>
      </c>
      <c r="AJ10" s="23">
        <f t="shared" si="10"/>
        <v>4.4619263503182481E-2</v>
      </c>
      <c r="AK10" s="23">
        <f t="shared" si="11"/>
        <v>2.7185775157738172E-2</v>
      </c>
      <c r="AL10" s="20">
        <f t="shared" si="12"/>
        <v>1855744</v>
      </c>
      <c r="AM10" s="23">
        <f t="shared" si="13"/>
        <v>0.11801958480907633</v>
      </c>
      <c r="AN10" s="24">
        <v>20942558</v>
      </c>
      <c r="AO10" s="24">
        <v>654454.9375</v>
      </c>
      <c r="AP10" s="24">
        <v>18627.34375</v>
      </c>
      <c r="AQ10" s="25">
        <v>2471632</v>
      </c>
      <c r="AR10" s="25">
        <v>1010840</v>
      </c>
      <c r="AS10" s="25">
        <v>844904</v>
      </c>
      <c r="AT10" s="25">
        <v>615888</v>
      </c>
      <c r="AU10" s="26">
        <v>65.787234374999997</v>
      </c>
      <c r="AV10" s="26">
        <v>67.190940624999996</v>
      </c>
      <c r="AW10" s="26">
        <v>30.924549999999901</v>
      </c>
      <c r="AX10" s="26">
        <v>38.465803125000001</v>
      </c>
      <c r="AY10" s="26">
        <v>29.969065624999999</v>
      </c>
      <c r="AZ10" s="27">
        <v>2952.96</v>
      </c>
      <c r="BA10" s="27">
        <v>6064.61</v>
      </c>
      <c r="BB10" s="27">
        <v>7.2619999999999996</v>
      </c>
      <c r="BC10" s="27">
        <v>29.297000000000001</v>
      </c>
      <c r="BE10" s="28">
        <f t="shared" si="14"/>
        <v>1.1733392682815795</v>
      </c>
      <c r="BF10" s="29">
        <f t="shared" si="15"/>
        <v>0</v>
      </c>
      <c r="BG10" s="29">
        <f t="shared" si="16"/>
        <v>2.6998751266540388E-3</v>
      </c>
      <c r="BH10" s="29">
        <f t="array" ref="BH10">AVERAGE(AL10:AL14/AQ10:AQ14) - AVERAGE(N10:N14/S10:S14)</f>
        <v>7.9738162058229367E-3</v>
      </c>
      <c r="BJ10" s="28">
        <f>IF( OR(ISBLANK(N10:N14),ISBLANK(AL10:AL14), ISBLANK(W10:W14),ISBLANK(AU10:AU14)), "·", bdRateExtend( N10:N14,W10:W14, AL10:AL14,AU10:AU14))</f>
        <v>0.17082350395824908</v>
      </c>
      <c r="BK10" s="28">
        <f>IF( OR(ISBLANK(N10:N14),ISBLANK(AL10:AL14), ISBLANK(X10:X14),ISBLANK(AV10:AV14)), "·", bdRateExtend( N10:N14,X10:X14, AL10:AL14,AV10:AV14))</f>
        <v>0.18753425426356807</v>
      </c>
      <c r="BL10" s="28">
        <f>IF( OR(ISBLANK(V10:V14),ISBLANK(AT10:AT14), ISBLANK(Y10:Y14),ISBLANK(AW10:AW14)), "·", bdRateExtend( V10:V14,Y10:Y14, AT10:AT14,AW10:AW14))</f>
        <v>0.11318628183049295</v>
      </c>
      <c r="BM10" s="28">
        <f>IF( OR(ISBLANK(V10:V14),ISBLANK(AT10:AT14), ISBLANK(Z10:Z14),ISBLANK(AX10:AX14)), "·", bdRateExtend( V10:V14,Z10:Z14, AT10:AT14,AX10:AX14))</f>
        <v>0.17688071314773612</v>
      </c>
      <c r="BN10" s="28">
        <f>IF( OR(ISBLANK(V10:V14),ISBLANK(AT10:AT14), ISBLANK(AA10:AA14),ISBLANK(AY10:AY14)), "·", bdRateExtend( V10:V14,AA10:AA14, AT10:AT14,AY10:AY14))</f>
        <v>0.13077787576735678</v>
      </c>
      <c r="BP10" s="28">
        <f>IF( OR(ISBLANK(S10:S14),ISBLANK(AQ10:AQ14), ISBLANK(W10:W14),ISBLANK(AU10:AU14)), "·", bdRateExtend( S10:S14,W10:W14, AQ10:AQ14,AU10:AU14))</f>
        <v>0.17431158145224979</v>
      </c>
      <c r="BQ10" s="28">
        <f>IF( OR(ISBLANK(S10:S14),ISBLANK(AQ10:AQ14), ISBLANK(X10:X14),ISBLANK(AV10:AV14)), "·", bdRateExtend( S10:S14,X10:X14, AQ10:AQ14,AV10:AV14))</f>
        <v>0.19571355740527441</v>
      </c>
      <c r="BR10" s="28">
        <f>IF( OR(ISBLANK(S10:S14),ISBLANK(AQ10:AQ14), ISBLANK(Y10:Y14),ISBLANK(AW10:AW14)), "·", bdRateExtend( S10:S14,Y10:Y14, AQ10:AQ14,AW10:AW14))</f>
        <v>0.12320471015454948</v>
      </c>
      <c r="BS10" s="28">
        <f>IF( OR(ISBLANK(S10:S14),ISBLANK(AQ10:AQ14), ISBLANK(Z10:Z14),ISBLANK(AX10:AX14)), "·", bdRateExtend( S10:S14,Z10:Z14, AQ10:AQ14,AX10:AX14))</f>
        <v>0.16510862437000773</v>
      </c>
      <c r="BT10" s="28">
        <f>IF( OR(ISBLANK(S10:S14),ISBLANK(AQ10:AQ14), ISBLANK(AA10:AA14),ISBLANK(AY10:AY14)), "·", bdRateExtend( S10:S14,AA10:AA14, AQ10:AQ14,AY10:AY14))</f>
        <v>0.13637066764321748</v>
      </c>
      <c r="BV10">
        <f t="shared" si="17"/>
        <v>0</v>
      </c>
      <c r="BW10">
        <f t="shared" si="18"/>
        <v>0</v>
      </c>
      <c r="BX10">
        <f t="shared" si="19"/>
        <v>0</v>
      </c>
      <c r="BY10">
        <f t="shared" si="20"/>
        <v>357536</v>
      </c>
      <c r="BZ10">
        <f t="shared" si="21"/>
        <v>114256</v>
      </c>
      <c r="CA10">
        <f t="shared" si="22"/>
        <v>159896</v>
      </c>
      <c r="CB10">
        <f t="shared" si="23"/>
        <v>83384</v>
      </c>
      <c r="CC10">
        <f t="shared" si="24"/>
        <v>-0.19734687500002224</v>
      </c>
      <c r="CD10">
        <f t="shared" si="25"/>
        <v>-0.65839687500000821</v>
      </c>
      <c r="CE10">
        <f t="shared" si="26"/>
        <v>-9.3737500000099061E-2</v>
      </c>
      <c r="CF10">
        <f t="shared" si="27"/>
        <v>-0.2715031250000024</v>
      </c>
      <c r="CG10">
        <f t="shared" si="28"/>
        <v>-0.12670312500000236</v>
      </c>
      <c r="CJ10" t="s">
        <v>595</v>
      </c>
    </row>
    <row r="11" spans="1:88" outlineLevel="1" x14ac:dyDescent="0.25">
      <c r="A11" s="10"/>
      <c r="B11" s="10" t="s">
        <v>59</v>
      </c>
      <c r="C11" s="11" t="s">
        <v>240</v>
      </c>
      <c r="D11" s="10">
        <v>22654789</v>
      </c>
      <c r="E11" s="11">
        <v>10</v>
      </c>
      <c r="F11" s="11">
        <v>32</v>
      </c>
      <c r="G11" s="11">
        <v>30</v>
      </c>
      <c r="I11" s="12">
        <f t="shared" si="0"/>
        <v>2.7157650000000002</v>
      </c>
      <c r="J11" s="13">
        <f t="shared" si="1"/>
        <v>0.12786771044303261</v>
      </c>
      <c r="K11" s="13">
        <f t="shared" si="2"/>
        <v>8.5688195992467645E-2</v>
      </c>
      <c r="L11" s="13">
        <f t="shared" si="3"/>
        <v>5.5451410295633295E-2</v>
      </c>
      <c r="M11" s="13">
        <f t="shared" si="4"/>
        <v>4.2179514450564955E-2</v>
      </c>
      <c r="N11" s="10">
        <f t="shared" si="5"/>
        <v>1941248</v>
      </c>
      <c r="O11" s="13">
        <f t="shared" si="6"/>
        <v>0.13029254896524639</v>
      </c>
      <c r="P11" s="14">
        <v>22233167</v>
      </c>
      <c r="Q11" s="14">
        <v>694786.46875</v>
      </c>
      <c r="R11" s="14">
        <v>22845.875</v>
      </c>
      <c r="S11" s="15">
        <v>2896816</v>
      </c>
      <c r="T11" s="15">
        <v>1256240</v>
      </c>
      <c r="U11" s="15">
        <v>685008</v>
      </c>
      <c r="V11" s="15">
        <v>955568</v>
      </c>
      <c r="W11" s="16">
        <v>67.675543749999989</v>
      </c>
      <c r="X11" s="16">
        <v>69.741678125000007</v>
      </c>
      <c r="Y11" s="16">
        <v>32.841040624999998</v>
      </c>
      <c r="Z11" s="16">
        <v>39.674550000000004</v>
      </c>
      <c r="AA11" s="16">
        <v>32.266484374999997</v>
      </c>
      <c r="AB11" s="17">
        <v>2979.99</v>
      </c>
      <c r="AC11" s="17">
        <v>5059.4399999999996</v>
      </c>
      <c r="AD11" s="17">
        <v>12.692</v>
      </c>
      <c r="AE11" s="17">
        <v>10.012</v>
      </c>
      <c r="AG11" s="12">
        <f t="shared" si="7"/>
        <v>3.1272600000000002</v>
      </c>
      <c r="AH11" s="13">
        <f t="shared" si="8"/>
        <v>0.14724233361873287</v>
      </c>
      <c r="AI11" s="13">
        <f t="shared" si="9"/>
        <v>9.8973863760108291E-2</v>
      </c>
      <c r="AJ11" s="13">
        <f t="shared" si="10"/>
        <v>6.1679144308075438E-2</v>
      </c>
      <c r="AK11" s="13">
        <f t="shared" si="11"/>
        <v>4.8268469858624596E-2</v>
      </c>
      <c r="AL11" s="10">
        <f t="shared" si="12"/>
        <v>2242232</v>
      </c>
      <c r="AM11" s="13">
        <f t="shared" si="13"/>
        <v>0.15003458571601608</v>
      </c>
      <c r="AN11" s="14">
        <v>22233167</v>
      </c>
      <c r="AO11" s="14">
        <v>694786.46875</v>
      </c>
      <c r="AP11" s="14">
        <v>22845.875</v>
      </c>
      <c r="AQ11" s="15">
        <v>3335744</v>
      </c>
      <c r="AR11" s="15">
        <v>1397328</v>
      </c>
      <c r="AS11" s="15">
        <v>844904</v>
      </c>
      <c r="AT11" s="15">
        <v>1093512</v>
      </c>
      <c r="AU11" s="16">
        <v>67.520581250000006</v>
      </c>
      <c r="AV11" s="16">
        <v>69.342403124999905</v>
      </c>
      <c r="AW11" s="16">
        <v>32.770778125</v>
      </c>
      <c r="AX11" s="16">
        <v>39.523953124999899</v>
      </c>
      <c r="AY11" s="16">
        <v>32.165978124999903</v>
      </c>
      <c r="AZ11" s="17">
        <v>2951.34</v>
      </c>
      <c r="BA11" s="17">
        <v>6478.12</v>
      </c>
      <c r="BB11" s="17">
        <v>7.4710000000000001</v>
      </c>
      <c r="BC11" s="17">
        <v>29.872</v>
      </c>
      <c r="BE11" s="18">
        <f t="shared" si="14"/>
        <v>1.1550466504022154</v>
      </c>
      <c r="BF11" s="19">
        <f t="shared" si="15"/>
        <v>0</v>
      </c>
      <c r="BG11" s="19">
        <f t="shared" si="16"/>
        <v>2.0518565373387476E-3</v>
      </c>
      <c r="BH11" s="19"/>
      <c r="BJ11" s="18"/>
      <c r="BK11" s="18"/>
      <c r="BL11" s="18"/>
      <c r="BM11" s="18"/>
      <c r="BN11" s="18"/>
      <c r="BP11" s="18"/>
      <c r="BQ11" s="18"/>
      <c r="BR11" s="18"/>
      <c r="BS11" s="18"/>
      <c r="BT11" s="18"/>
      <c r="BV11">
        <f t="shared" si="17"/>
        <v>0</v>
      </c>
      <c r="BW11">
        <f t="shared" si="18"/>
        <v>0</v>
      </c>
      <c r="BX11">
        <f t="shared" si="19"/>
        <v>0</v>
      </c>
      <c r="BY11">
        <f t="shared" si="20"/>
        <v>438928</v>
      </c>
      <c r="BZ11">
        <f t="shared" si="21"/>
        <v>141088</v>
      </c>
      <c r="CA11">
        <f t="shared" si="22"/>
        <v>159896</v>
      </c>
      <c r="CB11">
        <f t="shared" si="23"/>
        <v>137944</v>
      </c>
      <c r="CC11">
        <f t="shared" si="24"/>
        <v>-0.15496249999998213</v>
      </c>
      <c r="CD11">
        <f t="shared" si="25"/>
        <v>-0.39927500000010241</v>
      </c>
      <c r="CE11">
        <f t="shared" si="26"/>
        <v>-7.026249999999834E-2</v>
      </c>
      <c r="CF11">
        <f t="shared" si="27"/>
        <v>-0.15059687500010455</v>
      </c>
      <c r="CG11">
        <f t="shared" si="28"/>
        <v>-0.10050625000009461</v>
      </c>
      <c r="CJ11" t="s">
        <v>595</v>
      </c>
    </row>
    <row r="12" spans="1:88" outlineLevel="1" x14ac:dyDescent="0.25">
      <c r="A12" s="20"/>
      <c r="B12" s="20" t="s">
        <v>59</v>
      </c>
      <c r="C12" s="21" t="s">
        <v>241</v>
      </c>
      <c r="D12" s="20">
        <v>22654789</v>
      </c>
      <c r="E12" s="21">
        <v>10</v>
      </c>
      <c r="F12" s="21">
        <v>32</v>
      </c>
      <c r="G12" s="21">
        <v>30</v>
      </c>
      <c r="I12" s="22">
        <f t="shared" si="0"/>
        <v>3.89154</v>
      </c>
      <c r="J12" s="23">
        <f t="shared" si="1"/>
        <v>0.18322730792151717</v>
      </c>
      <c r="K12" s="23">
        <f t="shared" si="2"/>
        <v>0.10992889847705048</v>
      </c>
      <c r="L12" s="23">
        <f t="shared" si="3"/>
        <v>7.9692112780216137E-2</v>
      </c>
      <c r="M12" s="23">
        <f t="shared" si="4"/>
        <v>7.3298409444466681E-2</v>
      </c>
      <c r="N12" s="20">
        <f t="shared" si="5"/>
        <v>2490416</v>
      </c>
      <c r="O12" s="23">
        <f t="shared" si="6"/>
        <v>0.18391644695295739</v>
      </c>
      <c r="P12" s="24">
        <v>22569901</v>
      </c>
      <c r="Q12" s="24">
        <v>705309.40625</v>
      </c>
      <c r="R12" s="24">
        <v>24354.5625</v>
      </c>
      <c r="S12" s="25">
        <v>4150976</v>
      </c>
      <c r="T12" s="25">
        <v>1805408</v>
      </c>
      <c r="U12" s="25">
        <v>685008</v>
      </c>
      <c r="V12" s="25">
        <v>1660560</v>
      </c>
      <c r="W12" s="26">
        <v>69.011218750000012</v>
      </c>
      <c r="X12" s="26">
        <v>71.364221875000013</v>
      </c>
      <c r="Y12" s="26">
        <v>34.865193750000003</v>
      </c>
      <c r="Z12" s="26">
        <v>40.663921875000007</v>
      </c>
      <c r="AA12" s="26">
        <v>34.140665624999997</v>
      </c>
      <c r="AB12" s="27">
        <v>3037.42</v>
      </c>
      <c r="AC12" s="27">
        <v>6009.21</v>
      </c>
      <c r="AD12" s="27">
        <v>12.596</v>
      </c>
      <c r="AE12" s="27">
        <v>8.9960000000000004</v>
      </c>
      <c r="AG12" s="22">
        <f t="shared" si="7"/>
        <v>4.3829399999999996</v>
      </c>
      <c r="AH12" s="23">
        <f t="shared" si="8"/>
        <v>0.20636413784299645</v>
      </c>
      <c r="AI12" s="23">
        <f t="shared" si="9"/>
        <v>0.12348400155040067</v>
      </c>
      <c r="AJ12" s="23">
        <f t="shared" si="10"/>
        <v>8.6189282098367806E-2</v>
      </c>
      <c r="AK12" s="23">
        <f t="shared" si="11"/>
        <v>8.2880136292595802E-2</v>
      </c>
      <c r="AL12" s="20">
        <f t="shared" si="12"/>
        <v>2797504</v>
      </c>
      <c r="AM12" s="23">
        <f t="shared" si="13"/>
        <v>0.20714029715947802</v>
      </c>
      <c r="AN12" s="24">
        <v>22569901</v>
      </c>
      <c r="AO12" s="24">
        <v>705309.40625</v>
      </c>
      <c r="AP12" s="24">
        <v>24354.5625</v>
      </c>
      <c r="AQ12" s="25">
        <v>4675136</v>
      </c>
      <c r="AR12" s="25">
        <v>1952600</v>
      </c>
      <c r="AS12" s="25">
        <v>844904</v>
      </c>
      <c r="AT12" s="25">
        <v>1877632</v>
      </c>
      <c r="AU12" s="26">
        <v>68.950324999999907</v>
      </c>
      <c r="AV12" s="26">
        <v>71.175778124999994</v>
      </c>
      <c r="AW12" s="26">
        <v>34.81083125</v>
      </c>
      <c r="AX12" s="26">
        <v>40.549737499999999</v>
      </c>
      <c r="AY12" s="26">
        <v>34.052081250000001</v>
      </c>
      <c r="AZ12" s="27">
        <v>2947.77</v>
      </c>
      <c r="BA12" s="27">
        <v>6871.8</v>
      </c>
      <c r="BB12" s="27">
        <v>7.4939999999999998</v>
      </c>
      <c r="BC12" s="27">
        <v>30.43</v>
      </c>
      <c r="BE12" s="28">
        <f t="shared" si="14"/>
        <v>1.1233079132161052</v>
      </c>
      <c r="BF12" s="29">
        <f t="shared" si="15"/>
        <v>0</v>
      </c>
      <c r="BG12" s="29">
        <f t="shared" si="16"/>
        <v>-1.5799719930353895E-3</v>
      </c>
      <c r="BH12" s="29"/>
      <c r="BJ12" s="28"/>
      <c r="BK12" s="28"/>
      <c r="BL12" s="28"/>
      <c r="BM12" s="28"/>
      <c r="BN12" s="28"/>
      <c r="BP12" s="28"/>
      <c r="BQ12" s="28"/>
      <c r="BR12" s="28"/>
      <c r="BS12" s="28"/>
      <c r="BT12" s="28"/>
      <c r="BV12">
        <f t="shared" si="17"/>
        <v>0</v>
      </c>
      <c r="BW12">
        <f t="shared" si="18"/>
        <v>0</v>
      </c>
      <c r="BX12">
        <f t="shared" si="19"/>
        <v>0</v>
      </c>
      <c r="BY12">
        <f t="shared" si="20"/>
        <v>524160</v>
      </c>
      <c r="BZ12">
        <f t="shared" si="21"/>
        <v>147192</v>
      </c>
      <c r="CA12">
        <f t="shared" si="22"/>
        <v>159896</v>
      </c>
      <c r="CB12">
        <f t="shared" si="23"/>
        <v>217072</v>
      </c>
      <c r="CC12">
        <f t="shared" si="24"/>
        <v>-6.0893750000104774E-2</v>
      </c>
      <c r="CD12">
        <f t="shared" si="25"/>
        <v>-0.18844375000001889</v>
      </c>
      <c r="CE12">
        <f t="shared" si="26"/>
        <v>-5.4362500000003422E-2</v>
      </c>
      <c r="CF12">
        <f t="shared" si="27"/>
        <v>-0.11418437500000778</v>
      </c>
      <c r="CG12">
        <f t="shared" si="28"/>
        <v>-8.8584374999996385E-2</v>
      </c>
      <c r="CJ12" t="s">
        <v>595</v>
      </c>
    </row>
    <row r="13" spans="1:88" outlineLevel="1" x14ac:dyDescent="0.25">
      <c r="A13" s="10"/>
      <c r="B13" s="10" t="s">
        <v>59</v>
      </c>
      <c r="C13" s="11" t="s">
        <v>242</v>
      </c>
      <c r="D13" s="10">
        <v>22654789</v>
      </c>
      <c r="E13" s="11">
        <v>10</v>
      </c>
      <c r="F13" s="11">
        <v>32</v>
      </c>
      <c r="G13" s="11">
        <v>30</v>
      </c>
      <c r="I13" s="12">
        <f t="shared" si="0"/>
        <v>6.4025850000000002</v>
      </c>
      <c r="J13" s="13">
        <f t="shared" si="1"/>
        <v>0.30145608506881261</v>
      </c>
      <c r="K13" s="13">
        <f t="shared" si="2"/>
        <v>0.15327832009382211</v>
      </c>
      <c r="L13" s="13">
        <f t="shared" si="3"/>
        <v>0.12304153439698776</v>
      </c>
      <c r="M13" s="13">
        <f t="shared" si="4"/>
        <v>0.14817776497499049</v>
      </c>
      <c r="N13" s="10">
        <f t="shared" si="5"/>
        <v>3472488</v>
      </c>
      <c r="O13" s="13">
        <f t="shared" si="6"/>
        <v>0.29300215376891542</v>
      </c>
      <c r="P13" s="14">
        <v>23308443</v>
      </c>
      <c r="Q13" s="14">
        <v>728388.84375</v>
      </c>
      <c r="R13" s="14">
        <v>27633.65625</v>
      </c>
      <c r="S13" s="15">
        <v>6829424</v>
      </c>
      <c r="T13" s="15">
        <v>2787480</v>
      </c>
      <c r="U13" s="15">
        <v>685008</v>
      </c>
      <c r="V13" s="15">
        <v>3356936</v>
      </c>
      <c r="W13" s="16">
        <v>70.049418750000015</v>
      </c>
      <c r="X13" s="16">
        <v>72.553224999999983</v>
      </c>
      <c r="Y13" s="16">
        <v>37.038646874999998</v>
      </c>
      <c r="Z13" s="16">
        <v>41.716037500000013</v>
      </c>
      <c r="AA13" s="16">
        <v>36.082165625000009</v>
      </c>
      <c r="AB13" s="17">
        <v>3039.47</v>
      </c>
      <c r="AC13" s="17">
        <v>6419.88</v>
      </c>
      <c r="AD13" s="17">
        <v>12.1</v>
      </c>
      <c r="AE13" s="17">
        <v>9.452</v>
      </c>
      <c r="AG13" s="12">
        <f t="shared" si="7"/>
        <v>7.0088625000000002</v>
      </c>
      <c r="AH13" s="13">
        <f t="shared" si="8"/>
        <v>0.33000174929901133</v>
      </c>
      <c r="AI13" s="13">
        <f t="shared" si="9"/>
        <v>0.17130011672145787</v>
      </c>
      <c r="AJ13" s="13">
        <f t="shared" si="10"/>
        <v>0.13400539726942501</v>
      </c>
      <c r="AK13" s="13">
        <f t="shared" si="11"/>
        <v>0.15870163257755346</v>
      </c>
      <c r="AL13" s="10">
        <f t="shared" si="12"/>
        <v>3880768</v>
      </c>
      <c r="AM13" s="13">
        <f t="shared" si="13"/>
        <v>0.32074729315896389</v>
      </c>
      <c r="AN13" s="14">
        <v>23308443</v>
      </c>
      <c r="AO13" s="14">
        <v>728388.84375</v>
      </c>
      <c r="AP13" s="14">
        <v>27633.65625</v>
      </c>
      <c r="AQ13" s="15">
        <v>7476120</v>
      </c>
      <c r="AR13" s="15">
        <v>3035864</v>
      </c>
      <c r="AS13" s="15">
        <v>844904</v>
      </c>
      <c r="AT13" s="15">
        <v>3595352</v>
      </c>
      <c r="AU13" s="16">
        <v>69.890187499999996</v>
      </c>
      <c r="AV13" s="16">
        <v>72.331378125000001</v>
      </c>
      <c r="AW13" s="16">
        <v>37.032059374999903</v>
      </c>
      <c r="AX13" s="16">
        <v>41.633109374999997</v>
      </c>
      <c r="AY13" s="16">
        <v>36.041596875000003</v>
      </c>
      <c r="AZ13" s="17">
        <v>2956.55</v>
      </c>
      <c r="BA13" s="17">
        <v>7349.65</v>
      </c>
      <c r="BB13" s="17">
        <v>7.5869999999999997</v>
      </c>
      <c r="BC13" s="17">
        <v>31.103999999999999</v>
      </c>
      <c r="BE13" s="18">
        <f t="shared" si="14"/>
        <v>1.1175756402901895</v>
      </c>
      <c r="BF13" s="19">
        <f t="shared" si="15"/>
        <v>0</v>
      </c>
      <c r="BG13" s="19">
        <f t="shared" si="16"/>
        <v>1.0628646894891847E-2</v>
      </c>
      <c r="BH13" s="19"/>
      <c r="BJ13" s="18"/>
      <c r="BK13" s="18"/>
      <c r="BL13" s="18"/>
      <c r="BM13" s="18"/>
      <c r="BN13" s="18"/>
      <c r="BP13" s="18"/>
      <c r="BQ13" s="18"/>
      <c r="BR13" s="18"/>
      <c r="BS13" s="18"/>
      <c r="BT13" s="18"/>
      <c r="BV13">
        <f t="shared" si="17"/>
        <v>0</v>
      </c>
      <c r="BW13">
        <f t="shared" si="18"/>
        <v>0</v>
      </c>
      <c r="BX13">
        <f t="shared" si="19"/>
        <v>0</v>
      </c>
      <c r="BY13">
        <f t="shared" si="20"/>
        <v>646696</v>
      </c>
      <c r="BZ13">
        <f t="shared" si="21"/>
        <v>248384</v>
      </c>
      <c r="CA13">
        <f t="shared" si="22"/>
        <v>159896</v>
      </c>
      <c r="CB13">
        <f t="shared" si="23"/>
        <v>238416</v>
      </c>
      <c r="CC13">
        <f t="shared" si="24"/>
        <v>-0.15923125000001903</v>
      </c>
      <c r="CD13">
        <f t="shared" si="25"/>
        <v>-0.2218468749999829</v>
      </c>
      <c r="CE13">
        <f t="shared" si="26"/>
        <v>-6.5875000000943373E-3</v>
      </c>
      <c r="CF13">
        <f t="shared" si="27"/>
        <v>-8.292812500001645E-2</v>
      </c>
      <c r="CG13">
        <f t="shared" si="28"/>
        <v>-4.0568750000005593E-2</v>
      </c>
      <c r="CJ13" t="s">
        <v>595</v>
      </c>
    </row>
    <row r="14" spans="1:88" ht="15.75" customHeight="1" outlineLevel="1" thickBot="1" x14ac:dyDescent="0.3">
      <c r="A14" s="20"/>
      <c r="B14" s="40" t="s">
        <v>59</v>
      </c>
      <c r="C14" s="41" t="s">
        <v>243</v>
      </c>
      <c r="D14" s="40">
        <v>22654789</v>
      </c>
      <c r="E14" s="41">
        <v>10</v>
      </c>
      <c r="F14" s="41">
        <v>32</v>
      </c>
      <c r="G14" s="41">
        <v>30</v>
      </c>
      <c r="I14" s="42">
        <f t="shared" si="0"/>
        <v>13.056727499999999</v>
      </c>
      <c r="J14" s="43">
        <f t="shared" si="1"/>
        <v>0.61475637667603089</v>
      </c>
      <c r="K14" s="43">
        <f t="shared" si="2"/>
        <v>0.25826486399851262</v>
      </c>
      <c r="L14" s="43">
        <f t="shared" si="3"/>
        <v>0.19969993982287806</v>
      </c>
      <c r="M14" s="43">
        <f t="shared" si="4"/>
        <v>0.35649151267751822</v>
      </c>
      <c r="N14" s="40">
        <f t="shared" si="5"/>
        <v>5850936</v>
      </c>
      <c r="O14" s="43">
        <f t="shared" si="6"/>
        <v>0.62876612696788847</v>
      </c>
      <c r="P14" s="44">
        <v>22150010</v>
      </c>
      <c r="Q14" s="44">
        <v>692187.8125</v>
      </c>
      <c r="R14" s="44">
        <v>13186.28125</v>
      </c>
      <c r="S14" s="45">
        <v>13927176</v>
      </c>
      <c r="T14" s="45">
        <v>4524160</v>
      </c>
      <c r="U14" s="45">
        <v>1326776</v>
      </c>
      <c r="V14" s="45">
        <v>8076240</v>
      </c>
      <c r="W14" s="46">
        <v>70.927415624999995</v>
      </c>
      <c r="X14" s="46">
        <v>74.638240625000023</v>
      </c>
      <c r="Y14" s="46">
        <v>39.449874999999999</v>
      </c>
      <c r="Z14" s="46">
        <v>42.965343750000002</v>
      </c>
      <c r="AA14" s="46">
        <v>38.240734375000002</v>
      </c>
      <c r="AB14" s="47">
        <v>3220.75</v>
      </c>
      <c r="AC14" s="47">
        <v>7640.58</v>
      </c>
      <c r="AD14" s="47">
        <v>12.12</v>
      </c>
      <c r="AE14" s="47">
        <v>13.1</v>
      </c>
      <c r="AG14" s="42">
        <f t="shared" si="7"/>
        <v>13.535092499999999</v>
      </c>
      <c r="AH14" s="43">
        <f t="shared" si="8"/>
        <v>0.6372794732274929</v>
      </c>
      <c r="AI14" s="43">
        <f t="shared" si="9"/>
        <v>0.28434005719497102</v>
      </c>
      <c r="AJ14" s="43">
        <f t="shared" si="10"/>
        <v>0.21553623827615431</v>
      </c>
      <c r="AK14" s="43">
        <f t="shared" si="11"/>
        <v>0.35293941603252188</v>
      </c>
      <c r="AL14" s="40">
        <f t="shared" si="12"/>
        <v>6441664</v>
      </c>
      <c r="AM14" s="43">
        <f t="shared" si="13"/>
        <v>0.65180250482956892</v>
      </c>
      <c r="AN14" s="44">
        <v>22150010</v>
      </c>
      <c r="AO14" s="44">
        <v>692187.8125</v>
      </c>
      <c r="AP14" s="44">
        <v>13186.28125</v>
      </c>
      <c r="AQ14" s="45">
        <v>14437432</v>
      </c>
      <c r="AR14" s="45">
        <v>4882928</v>
      </c>
      <c r="AS14" s="45">
        <v>1558736</v>
      </c>
      <c r="AT14" s="45">
        <v>7995768</v>
      </c>
      <c r="AU14" s="46">
        <v>70.936909374999999</v>
      </c>
      <c r="AV14" s="46">
        <v>74.517734374999904</v>
      </c>
      <c r="AW14" s="46">
        <v>39.455575000000003</v>
      </c>
      <c r="AX14" s="46">
        <v>42.924668750000002</v>
      </c>
      <c r="AY14" s="46">
        <v>38.189612500000003</v>
      </c>
      <c r="AZ14" s="47">
        <v>2949.05</v>
      </c>
      <c r="BA14" s="47">
        <v>8109.44</v>
      </c>
      <c r="BB14" s="47">
        <v>7.327</v>
      </c>
      <c r="BC14" s="47">
        <v>33.046999999999997</v>
      </c>
      <c r="BE14" s="48">
        <f t="shared" si="14"/>
        <v>1.1009629912205501</v>
      </c>
      <c r="BF14" s="49">
        <f t="shared" si="15"/>
        <v>0</v>
      </c>
      <c r="BG14" s="49">
        <f t="shared" si="16"/>
        <v>2.6068674463265273E-2</v>
      </c>
      <c r="BH14" s="49"/>
      <c r="BJ14" s="48"/>
      <c r="BK14" s="48"/>
      <c r="BL14" s="48"/>
      <c r="BM14" s="48"/>
      <c r="BN14" s="48"/>
      <c r="BP14" s="48"/>
      <c r="BQ14" s="48"/>
      <c r="BR14" s="48"/>
      <c r="BS14" s="48"/>
      <c r="BT14" s="48"/>
      <c r="BV14">
        <f t="shared" si="17"/>
        <v>0</v>
      </c>
      <c r="BW14">
        <f t="shared" si="18"/>
        <v>0</v>
      </c>
      <c r="BX14">
        <f t="shared" si="19"/>
        <v>0</v>
      </c>
      <c r="BY14">
        <f t="shared" si="20"/>
        <v>510256</v>
      </c>
      <c r="BZ14">
        <f t="shared" si="21"/>
        <v>358768</v>
      </c>
      <c r="CA14">
        <f t="shared" si="22"/>
        <v>231960</v>
      </c>
      <c r="CB14">
        <f t="shared" si="23"/>
        <v>-80472</v>
      </c>
      <c r="CC14">
        <f t="shared" si="24"/>
        <v>9.4937500000042974E-3</v>
      </c>
      <c r="CD14">
        <f t="shared" si="25"/>
        <v>-0.12050625000011905</v>
      </c>
      <c r="CE14">
        <f t="shared" si="26"/>
        <v>5.7000000000044793E-3</v>
      </c>
      <c r="CF14">
        <f t="shared" si="27"/>
        <v>-4.0675000000000239E-2</v>
      </c>
      <c r="CG14">
        <f t="shared" si="28"/>
        <v>-5.1121874999999761E-2</v>
      </c>
      <c r="CJ14" t="s">
        <v>595</v>
      </c>
    </row>
    <row r="15" spans="1:88" x14ac:dyDescent="0.25">
      <c r="A15" s="10"/>
      <c r="B15" s="10" t="s">
        <v>64</v>
      </c>
      <c r="C15" s="11" t="s">
        <v>238</v>
      </c>
      <c r="D15" s="10">
        <v>33947718</v>
      </c>
      <c r="E15" s="11">
        <v>10</v>
      </c>
      <c r="F15" s="11">
        <v>32</v>
      </c>
      <c r="G15" s="11">
        <v>30</v>
      </c>
      <c r="I15" s="12">
        <f t="shared" si="0"/>
        <v>1.6314225</v>
      </c>
      <c r="J15" s="13">
        <f t="shared" si="1"/>
        <v>5.1260706242463781E-2</v>
      </c>
      <c r="K15" s="13">
        <f t="shared" si="2"/>
        <v>4.301414310087058E-2</v>
      </c>
      <c r="L15" s="13">
        <f t="shared" si="3"/>
        <v>2.2479743704716764E-2</v>
      </c>
      <c r="M15" s="13">
        <f t="shared" si="4"/>
        <v>8.2465631415931991E-3</v>
      </c>
      <c r="N15" s="10">
        <f t="shared" si="5"/>
        <v>1460232</v>
      </c>
      <c r="O15" s="13">
        <f t="shared" si="6"/>
        <v>5.3683026669591571E-2</v>
      </c>
      <c r="P15" s="14">
        <v>32415907</v>
      </c>
      <c r="Q15" s="14">
        <v>1012997.09375</v>
      </c>
      <c r="R15" s="14">
        <v>31572.59375</v>
      </c>
      <c r="S15" s="15">
        <v>1740184</v>
      </c>
      <c r="T15" s="15">
        <v>763136</v>
      </c>
      <c r="U15" s="15">
        <v>697096</v>
      </c>
      <c r="V15" s="15">
        <v>279952</v>
      </c>
      <c r="W15" s="16">
        <v>66.291603125000009</v>
      </c>
      <c r="X15" s="16">
        <v>67.836553125000009</v>
      </c>
      <c r="Y15" s="16">
        <v>29.27991875</v>
      </c>
      <c r="Z15" s="16">
        <v>43.565681249999997</v>
      </c>
      <c r="AA15" s="16">
        <v>43.772990625000013</v>
      </c>
      <c r="AB15" s="17">
        <v>4700.6899999999996</v>
      </c>
      <c r="AC15" s="17">
        <v>4418.21</v>
      </c>
      <c r="AD15" s="17">
        <v>13.023999999999999</v>
      </c>
      <c r="AE15" s="17">
        <v>7.28</v>
      </c>
      <c r="AG15" s="12">
        <f t="shared" si="7"/>
        <v>2.2310099999999999</v>
      </c>
      <c r="AH15" s="13">
        <f t="shared" si="8"/>
        <v>7.0100264176814475E-2</v>
      </c>
      <c r="AI15" s="13">
        <f t="shared" si="9"/>
        <v>5.8483813256608293E-2</v>
      </c>
      <c r="AJ15" s="13">
        <f t="shared" si="10"/>
        <v>3.1761545798159395E-2</v>
      </c>
      <c r="AK15" s="13">
        <f t="shared" si="11"/>
        <v>1.1616450920206182E-2</v>
      </c>
      <c r="AL15" s="10">
        <f t="shared" si="12"/>
        <v>1985392</v>
      </c>
      <c r="AM15" s="13">
        <f t="shared" si="13"/>
        <v>7.3412846353489353E-2</v>
      </c>
      <c r="AN15" s="14">
        <v>32415907</v>
      </c>
      <c r="AO15" s="14">
        <v>1012997.09375</v>
      </c>
      <c r="AP15" s="14">
        <v>31572.59375</v>
      </c>
      <c r="AQ15" s="15">
        <v>2379744</v>
      </c>
      <c r="AR15" s="15">
        <v>1078232</v>
      </c>
      <c r="AS15" s="15">
        <v>907160</v>
      </c>
      <c r="AT15" s="15">
        <v>394352</v>
      </c>
      <c r="AU15" s="16">
        <v>65.918496875000002</v>
      </c>
      <c r="AV15" s="16">
        <v>67.32410625</v>
      </c>
      <c r="AW15" s="16">
        <v>29.112349999999999</v>
      </c>
      <c r="AX15" s="16">
        <v>43.205571874999997</v>
      </c>
      <c r="AY15" s="16">
        <v>43.467978125000002</v>
      </c>
      <c r="AZ15" s="17">
        <v>4218.71</v>
      </c>
      <c r="BA15" s="17">
        <v>6326.7</v>
      </c>
      <c r="BB15" s="17">
        <v>10.493</v>
      </c>
      <c r="BC15" s="17">
        <v>33.395000000000003</v>
      </c>
      <c r="BE15" s="18">
        <f t="shared" si="14"/>
        <v>1.359641481627577</v>
      </c>
      <c r="BF15" s="19">
        <f t="shared" si="15"/>
        <v>0</v>
      </c>
      <c r="BG15" s="19">
        <f t="shared" si="16"/>
        <v>-4.8370001647066729E-3</v>
      </c>
      <c r="BH15" s="19">
        <f t="array" ref="BH15">AVERAGE(AL15:AL19/AQ15:AQ19) - AVERAGE(N15:N19/S15:S19)</f>
        <v>2.7940804539057784E-2</v>
      </c>
      <c r="BJ15" s="18">
        <f>IF( OR(ISBLANK(N15:N19),ISBLANK(AL15:AL19), ISBLANK(W15:W19),ISBLANK(AU15:AU19)), "·", bdRateExtend( N15:N19,W15:W19, AL15:AL19,AU15:AU19))</f>
        <v>0.33566012101492926</v>
      </c>
      <c r="BK15" s="18">
        <f>IF( OR(ISBLANK(N15:N19),ISBLANK(AL15:AL19), ISBLANK(X15:X19),ISBLANK(AV15:AV19)), "·", bdRateExtend( N15:N19,X15:X19, AL15:AL19,AV15:AV19))</f>
        <v>0.34003207878517472</v>
      </c>
      <c r="BL15" s="18">
        <f>IF( OR(ISBLANK(V15:V19),ISBLANK(AT15:AT19), ISBLANK(Y15:Y19),ISBLANK(AW15:AW19)), "·", bdRateExtend( V15:V19,Y15:Y19, AT15:AT19,AW15:AW19))</f>
        <v>0.17496276916433673</v>
      </c>
      <c r="BM15" s="18">
        <f>IF( OR(ISBLANK(V15:V19),ISBLANK(AT15:AT19), ISBLANK(Z15:Z19),ISBLANK(AX15:AX19)), "·", bdRateExtend( V15:V19,Z15:Z19, AT15:AT19,AX15:AX19))</f>
        <v>7.9970824038781307E-2</v>
      </c>
      <c r="BN15" s="18">
        <f>IF( OR(ISBLANK(V15:V19),ISBLANK(AT15:AT19), ISBLANK(AA15:AA19),ISBLANK(AY15:AY19)), "·", bdRateExtend( V15:V19,AA15:AA19, AT15:AT19,AY15:AY19))</f>
        <v>0.11129666011163097</v>
      </c>
      <c r="BP15" s="18">
        <f>IF( OR(ISBLANK(S15:S19),ISBLANK(AQ15:AQ19), ISBLANK(W15:W19),ISBLANK(AU15:AU19)), "·", bdRateExtend( S15:S19,W15:W19, AQ15:AQ19,AU15:AU19))</f>
        <v>0.32000411946101104</v>
      </c>
      <c r="BQ15" s="18">
        <f>IF( OR(ISBLANK(S15:S19),ISBLANK(AQ15:AQ19), ISBLANK(X15:X19),ISBLANK(AV15:AV19)), "·", bdRateExtend( S15:S19,X15:X19, AQ15:AQ19,AV15:AV19))</f>
        <v>0.30833638932709984</v>
      </c>
      <c r="BR15" s="18">
        <f>IF( OR(ISBLANK(S15:S19),ISBLANK(AQ15:AQ19), ISBLANK(Y15:Y19),ISBLANK(AW15:AW19)), "·", bdRateExtend( S15:S19,Y15:Y19, AQ15:AQ19,AW15:AW19))</f>
        <v>0.21760824487552277</v>
      </c>
      <c r="BS15" s="18">
        <f>IF( OR(ISBLANK(S15:S19),ISBLANK(AQ15:AQ19), ISBLANK(Z15:Z19),ISBLANK(AX15:AX19)), "·", bdRateExtend( S15:S19,Z15:Z19, AQ15:AQ19,AX15:AX19))</f>
        <v>0.15968984940246256</v>
      </c>
      <c r="BT15" s="18">
        <f>IF( OR(ISBLANK(S15:S19),ISBLANK(AQ15:AQ19), ISBLANK(AA15:AA19),ISBLANK(AY15:AY19)), "·", bdRateExtend( S15:S19,AA15:AA19, AQ15:AQ19,AY15:AY19))</f>
        <v>0.174217998867368</v>
      </c>
      <c r="BV15">
        <f t="shared" si="17"/>
        <v>0</v>
      </c>
      <c r="BW15">
        <f t="shared" si="18"/>
        <v>0</v>
      </c>
      <c r="BX15">
        <f t="shared" si="19"/>
        <v>0</v>
      </c>
      <c r="BY15">
        <f t="shared" si="20"/>
        <v>639560</v>
      </c>
      <c r="BZ15">
        <f t="shared" si="21"/>
        <v>315096</v>
      </c>
      <c r="CA15">
        <f t="shared" si="22"/>
        <v>210064</v>
      </c>
      <c r="CB15">
        <f t="shared" si="23"/>
        <v>114400</v>
      </c>
      <c r="CC15">
        <f t="shared" si="24"/>
        <v>-0.37310625000000641</v>
      </c>
      <c r="CD15">
        <f t="shared" si="25"/>
        <v>-0.51244687500000907</v>
      </c>
      <c r="CE15">
        <f t="shared" si="26"/>
        <v>-0.16756875000000093</v>
      </c>
      <c r="CF15">
        <f t="shared" si="27"/>
        <v>-0.3601093750000004</v>
      </c>
      <c r="CG15">
        <f t="shared" si="28"/>
        <v>-0.30501250000001079</v>
      </c>
      <c r="CJ15" t="s">
        <v>239</v>
      </c>
    </row>
    <row r="16" spans="1:88" outlineLevel="1" x14ac:dyDescent="0.25">
      <c r="A16" s="20"/>
      <c r="B16" s="20" t="s">
        <v>64</v>
      </c>
      <c r="C16" s="21" t="s">
        <v>240</v>
      </c>
      <c r="D16" s="20">
        <v>33947718</v>
      </c>
      <c r="E16" s="21">
        <v>10</v>
      </c>
      <c r="F16" s="21">
        <v>32</v>
      </c>
      <c r="G16" s="21">
        <v>30</v>
      </c>
      <c r="I16" s="22">
        <f t="shared" si="0"/>
        <v>2.1509624999999999</v>
      </c>
      <c r="J16" s="23">
        <f t="shared" si="1"/>
        <v>6.7585102480231515E-2</v>
      </c>
      <c r="K16" s="23">
        <f t="shared" si="2"/>
        <v>5.185456059226131E-2</v>
      </c>
      <c r="L16" s="23">
        <f t="shared" si="3"/>
        <v>3.1320161196107497E-2</v>
      </c>
      <c r="M16" s="23">
        <f t="shared" si="4"/>
        <v>1.5730541887970202E-2</v>
      </c>
      <c r="N16" s="20">
        <f t="shared" si="5"/>
        <v>1760344</v>
      </c>
      <c r="O16" s="23">
        <f t="shared" si="6"/>
        <v>6.7731856054071185E-2</v>
      </c>
      <c r="P16" s="24">
        <v>33874164</v>
      </c>
      <c r="Q16" s="24">
        <v>1058567.625</v>
      </c>
      <c r="R16" s="24">
        <v>36348.40625</v>
      </c>
      <c r="S16" s="25">
        <v>2294360</v>
      </c>
      <c r="T16" s="25">
        <v>1063248</v>
      </c>
      <c r="U16" s="25">
        <v>697096</v>
      </c>
      <c r="V16" s="25">
        <v>534016</v>
      </c>
      <c r="W16" s="26">
        <v>68.020284375000003</v>
      </c>
      <c r="X16" s="26">
        <v>69.988659374999997</v>
      </c>
      <c r="Y16" s="26">
        <v>31.570318749999998</v>
      </c>
      <c r="Z16" s="26">
        <v>43.970778125000002</v>
      </c>
      <c r="AA16" s="26">
        <v>44.336490624999989</v>
      </c>
      <c r="AB16" s="27">
        <v>4760.25</v>
      </c>
      <c r="AC16" s="27">
        <v>4742.8999999999996</v>
      </c>
      <c r="AD16" s="27">
        <v>13.552</v>
      </c>
      <c r="AE16" s="27">
        <v>7.8479999999999999</v>
      </c>
      <c r="AG16" s="22">
        <f t="shared" si="7"/>
        <v>2.8551825000000002</v>
      </c>
      <c r="AH16" s="23">
        <f t="shared" si="8"/>
        <v>8.9712304078877994E-2</v>
      </c>
      <c r="AI16" s="23">
        <f t="shared" si="9"/>
        <v>6.8438414623333443E-2</v>
      </c>
      <c r="AJ16" s="23">
        <f t="shared" si="10"/>
        <v>4.1716147164884546E-2</v>
      </c>
      <c r="AK16" s="23">
        <f t="shared" si="11"/>
        <v>2.1273889455544551E-2</v>
      </c>
      <c r="AL16" s="20">
        <f t="shared" si="12"/>
        <v>2323328</v>
      </c>
      <c r="AM16" s="23">
        <f t="shared" si="13"/>
        <v>8.9907104423300313E-2</v>
      </c>
      <c r="AN16" s="24">
        <v>33874164</v>
      </c>
      <c r="AO16" s="24">
        <v>1058567.625</v>
      </c>
      <c r="AP16" s="24">
        <v>36348.40625</v>
      </c>
      <c r="AQ16" s="25">
        <v>3045528</v>
      </c>
      <c r="AR16" s="25">
        <v>1416168</v>
      </c>
      <c r="AS16" s="25">
        <v>907160</v>
      </c>
      <c r="AT16" s="25">
        <v>722200</v>
      </c>
      <c r="AU16" s="26">
        <v>67.782403124999902</v>
      </c>
      <c r="AV16" s="26">
        <v>69.647778125000002</v>
      </c>
      <c r="AW16" s="26">
        <v>31.457525</v>
      </c>
      <c r="AX16" s="26">
        <v>43.94033125</v>
      </c>
      <c r="AY16" s="26">
        <v>44.244312499999999</v>
      </c>
      <c r="AZ16" s="27">
        <v>4216.22</v>
      </c>
      <c r="BA16" s="27">
        <v>6689.52</v>
      </c>
      <c r="BB16" s="27">
        <v>10.862</v>
      </c>
      <c r="BC16" s="27">
        <v>33.929000000000002</v>
      </c>
      <c r="BE16" s="28">
        <f t="shared" si="14"/>
        <v>1.3198147634780475</v>
      </c>
      <c r="BF16" s="29">
        <f t="shared" si="15"/>
        <v>0</v>
      </c>
      <c r="BG16" s="29">
        <f t="shared" si="16"/>
        <v>-4.3829619543261922E-3</v>
      </c>
      <c r="BH16" s="29"/>
      <c r="BJ16" s="28"/>
      <c r="BK16" s="28"/>
      <c r="BL16" s="28"/>
      <c r="BM16" s="28"/>
      <c r="BN16" s="28"/>
      <c r="BP16" s="28"/>
      <c r="BQ16" s="28"/>
      <c r="BR16" s="28"/>
      <c r="BS16" s="28"/>
      <c r="BT16" s="28"/>
      <c r="BV16">
        <f t="shared" si="17"/>
        <v>0</v>
      </c>
      <c r="BW16">
        <f t="shared" si="18"/>
        <v>0</v>
      </c>
      <c r="BX16">
        <f t="shared" si="19"/>
        <v>0</v>
      </c>
      <c r="BY16">
        <f t="shared" si="20"/>
        <v>751168</v>
      </c>
      <c r="BZ16">
        <f t="shared" si="21"/>
        <v>352920</v>
      </c>
      <c r="CA16">
        <f t="shared" si="22"/>
        <v>210064</v>
      </c>
      <c r="CB16">
        <f t="shared" si="23"/>
        <v>188184</v>
      </c>
      <c r="CC16">
        <f t="shared" si="24"/>
        <v>-0.23788125000010041</v>
      </c>
      <c r="CD16">
        <f t="shared" si="25"/>
        <v>-0.34088124999999536</v>
      </c>
      <c r="CE16">
        <f t="shared" si="26"/>
        <v>-0.11279374999999803</v>
      </c>
      <c r="CF16">
        <f t="shared" si="27"/>
        <v>-3.0446875000002649E-2</v>
      </c>
      <c r="CG16">
        <f t="shared" si="28"/>
        <v>-9.2178124999989564E-2</v>
      </c>
      <c r="CJ16" t="s">
        <v>239</v>
      </c>
    </row>
    <row r="17" spans="1:88" outlineLevel="1" x14ac:dyDescent="0.25">
      <c r="A17" s="10"/>
      <c r="B17" s="10" t="s">
        <v>64</v>
      </c>
      <c r="C17" s="11" t="s">
        <v>241</v>
      </c>
      <c r="D17" s="10">
        <v>33947718</v>
      </c>
      <c r="E17" s="11">
        <v>10</v>
      </c>
      <c r="F17" s="11">
        <v>32</v>
      </c>
      <c r="G17" s="11">
        <v>30</v>
      </c>
      <c r="I17" s="12">
        <f t="shared" si="0"/>
        <v>3.1030875</v>
      </c>
      <c r="J17" s="13">
        <f t="shared" si="1"/>
        <v>9.7501693633722297E-2</v>
      </c>
      <c r="K17" s="13">
        <f t="shared" si="2"/>
        <v>6.3302752780024854E-2</v>
      </c>
      <c r="L17" s="13">
        <f t="shared" si="3"/>
        <v>4.2768353383871048E-2</v>
      </c>
      <c r="M17" s="13">
        <f t="shared" si="4"/>
        <v>3.4198940853697443E-2</v>
      </c>
      <c r="N17" s="10">
        <f t="shared" si="5"/>
        <v>2148984</v>
      </c>
      <c r="O17" s="13">
        <f t="shared" si="6"/>
        <v>9.798970941673836E-2</v>
      </c>
      <c r="P17" s="14">
        <v>33778649</v>
      </c>
      <c r="Q17" s="14">
        <v>1055582.78125</v>
      </c>
      <c r="R17" s="14">
        <v>36858.84375</v>
      </c>
      <c r="S17" s="15">
        <v>3309960</v>
      </c>
      <c r="T17" s="15">
        <v>1451888</v>
      </c>
      <c r="U17" s="15">
        <v>697096</v>
      </c>
      <c r="V17" s="15">
        <v>1160976</v>
      </c>
      <c r="W17" s="16">
        <v>69.351378124999997</v>
      </c>
      <c r="X17" s="16">
        <v>71.816215625000012</v>
      </c>
      <c r="Y17" s="16">
        <v>33.940178125000003</v>
      </c>
      <c r="Z17" s="16">
        <v>45.017137499999997</v>
      </c>
      <c r="AA17" s="16">
        <v>45.584253124999996</v>
      </c>
      <c r="AB17" s="17">
        <v>4707.4799999999996</v>
      </c>
      <c r="AC17" s="17">
        <v>5071.1899999999996</v>
      </c>
      <c r="AD17" s="17">
        <v>15.076000000000001</v>
      </c>
      <c r="AE17" s="17">
        <v>8.0359999999999996</v>
      </c>
      <c r="AG17" s="12">
        <f t="shared" si="7"/>
        <v>3.8702325000000002</v>
      </c>
      <c r="AH17" s="13">
        <f t="shared" si="8"/>
        <v>0.12160605316681375</v>
      </c>
      <c r="AI17" s="13">
        <f t="shared" si="9"/>
        <v>7.9987467787967365E-2</v>
      </c>
      <c r="AJ17" s="13">
        <f t="shared" si="10"/>
        <v>5.3265200329518467E-2</v>
      </c>
      <c r="AK17" s="13">
        <f t="shared" si="11"/>
        <v>4.1618585378846377E-2</v>
      </c>
      <c r="AL17" s="10">
        <f t="shared" si="12"/>
        <v>2715392</v>
      </c>
      <c r="AM17" s="13">
        <f t="shared" si="13"/>
        <v>0.12221471616582416</v>
      </c>
      <c r="AN17" s="14">
        <v>33778649</v>
      </c>
      <c r="AO17" s="14">
        <v>1055582.78125</v>
      </c>
      <c r="AP17" s="14">
        <v>36858.84375</v>
      </c>
      <c r="AQ17" s="15">
        <v>4128248</v>
      </c>
      <c r="AR17" s="15">
        <v>1808232</v>
      </c>
      <c r="AS17" s="15">
        <v>907160</v>
      </c>
      <c r="AT17" s="15">
        <v>1412856</v>
      </c>
      <c r="AU17" s="16">
        <v>69.287399999999906</v>
      </c>
      <c r="AV17" s="16">
        <v>71.553468749999894</v>
      </c>
      <c r="AW17" s="16">
        <v>33.858256249999997</v>
      </c>
      <c r="AX17" s="16">
        <v>45.085921874999997</v>
      </c>
      <c r="AY17" s="16">
        <v>45.512093749999998</v>
      </c>
      <c r="AZ17" s="17">
        <v>4161.3500000000004</v>
      </c>
      <c r="BA17" s="17">
        <v>7032.59</v>
      </c>
      <c r="BB17" s="17">
        <v>11.051</v>
      </c>
      <c r="BC17" s="17">
        <v>35.631</v>
      </c>
      <c r="BE17" s="18">
        <f t="shared" si="14"/>
        <v>1.2635701336073233</v>
      </c>
      <c r="BF17" s="19">
        <f t="shared" si="15"/>
        <v>0</v>
      </c>
      <c r="BG17" s="19">
        <f t="shared" si="16"/>
        <v>8.5112080393163758E-3</v>
      </c>
      <c r="BH17" s="19"/>
      <c r="BJ17" s="18"/>
      <c r="BK17" s="18"/>
      <c r="BL17" s="18"/>
      <c r="BM17" s="18"/>
      <c r="BN17" s="18"/>
      <c r="BP17" s="18"/>
      <c r="BQ17" s="18"/>
      <c r="BR17" s="18"/>
      <c r="BS17" s="18"/>
      <c r="BT17" s="18"/>
      <c r="BV17">
        <f t="shared" si="17"/>
        <v>0</v>
      </c>
      <c r="BW17">
        <f t="shared" si="18"/>
        <v>0</v>
      </c>
      <c r="BX17">
        <f t="shared" si="19"/>
        <v>0</v>
      </c>
      <c r="BY17">
        <f t="shared" si="20"/>
        <v>818288</v>
      </c>
      <c r="BZ17">
        <f t="shared" si="21"/>
        <v>356344</v>
      </c>
      <c r="CA17">
        <f t="shared" si="22"/>
        <v>210064</v>
      </c>
      <c r="CB17">
        <f t="shared" si="23"/>
        <v>251880</v>
      </c>
      <c r="CC17">
        <f t="shared" si="24"/>
        <v>-6.3978125000090813E-2</v>
      </c>
      <c r="CD17">
        <f t="shared" si="25"/>
        <v>-0.26274687500011851</v>
      </c>
      <c r="CE17">
        <f t="shared" si="26"/>
        <v>-8.1921875000006139E-2</v>
      </c>
      <c r="CF17">
        <f t="shared" si="27"/>
        <v>6.8784374999999898E-2</v>
      </c>
      <c r="CG17">
        <f t="shared" si="28"/>
        <v>-7.2159374999998249E-2</v>
      </c>
      <c r="CJ17" t="s">
        <v>239</v>
      </c>
    </row>
    <row r="18" spans="1:88" outlineLevel="1" x14ac:dyDescent="0.25">
      <c r="A18" s="20"/>
      <c r="B18" s="20" t="s">
        <v>64</v>
      </c>
      <c r="C18" s="21" t="s">
        <v>242</v>
      </c>
      <c r="D18" s="20">
        <v>33947718</v>
      </c>
      <c r="E18" s="21">
        <v>10</v>
      </c>
      <c r="F18" s="21">
        <v>32</v>
      </c>
      <c r="G18" s="21">
        <v>30</v>
      </c>
      <c r="I18" s="22">
        <f t="shared" si="0"/>
        <v>5.8969874999999998</v>
      </c>
      <c r="J18" s="23">
        <f t="shared" si="1"/>
        <v>0.18528844854903059</v>
      </c>
      <c r="K18" s="23">
        <f t="shared" si="2"/>
        <v>9.4301007213504012E-2</v>
      </c>
      <c r="L18" s="23">
        <f t="shared" si="3"/>
        <v>7.3766607817350199E-2</v>
      </c>
      <c r="M18" s="23">
        <f t="shared" si="4"/>
        <v>9.0987441335526595E-2</v>
      </c>
      <c r="N18" s="20">
        <f t="shared" si="5"/>
        <v>3201304</v>
      </c>
      <c r="O18" s="23">
        <f t="shared" si="6"/>
        <v>0.18015871708818659</v>
      </c>
      <c r="P18" s="24">
        <v>34914325</v>
      </c>
      <c r="Q18" s="24">
        <v>1091072.65625</v>
      </c>
      <c r="R18" s="24">
        <v>41019.625</v>
      </c>
      <c r="S18" s="25">
        <v>6290120</v>
      </c>
      <c r="T18" s="25">
        <v>2504208</v>
      </c>
      <c r="U18" s="25">
        <v>697096</v>
      </c>
      <c r="V18" s="25">
        <v>3088816</v>
      </c>
      <c r="W18" s="26">
        <v>70.511306250000018</v>
      </c>
      <c r="X18" s="26">
        <v>73.106734374999988</v>
      </c>
      <c r="Y18" s="26">
        <v>36.227975000000001</v>
      </c>
      <c r="Z18" s="26">
        <v>46.392721875000021</v>
      </c>
      <c r="AA18" s="26">
        <v>46.880371875000009</v>
      </c>
      <c r="AB18" s="27">
        <v>4709.46</v>
      </c>
      <c r="AC18" s="27">
        <v>5301.76</v>
      </c>
      <c r="AD18" s="27">
        <v>15.596</v>
      </c>
      <c r="AE18" s="27">
        <v>9.3320000000000007</v>
      </c>
      <c r="AG18" s="22">
        <f t="shared" si="7"/>
        <v>6.6404624999999999</v>
      </c>
      <c r="AH18" s="23">
        <f t="shared" si="8"/>
        <v>0.20864907620594703</v>
      </c>
      <c r="AI18" s="23">
        <f t="shared" si="9"/>
        <v>0.11689598694086006</v>
      </c>
      <c r="AJ18" s="23">
        <f t="shared" si="10"/>
        <v>9.0173719482411166E-2</v>
      </c>
      <c r="AK18" s="23">
        <f t="shared" si="11"/>
        <v>9.1753089265086976E-2</v>
      </c>
      <c r="AL18" s="20">
        <f t="shared" si="12"/>
        <v>3968352</v>
      </c>
      <c r="AM18" s="23">
        <f t="shared" si="13"/>
        <v>0.20287260315071248</v>
      </c>
      <c r="AN18" s="24">
        <v>34914325</v>
      </c>
      <c r="AO18" s="24">
        <v>1091072.65625</v>
      </c>
      <c r="AP18" s="24">
        <v>41019.625</v>
      </c>
      <c r="AQ18" s="25">
        <v>7083160</v>
      </c>
      <c r="AR18" s="25">
        <v>3061192</v>
      </c>
      <c r="AS18" s="25">
        <v>907160</v>
      </c>
      <c r="AT18" s="25">
        <v>3114808</v>
      </c>
      <c r="AU18" s="26">
        <v>70.319543749999994</v>
      </c>
      <c r="AV18" s="26">
        <v>72.823193750000002</v>
      </c>
      <c r="AW18" s="26">
        <v>36.247159375000003</v>
      </c>
      <c r="AX18" s="26">
        <v>46.421587499999902</v>
      </c>
      <c r="AY18" s="26">
        <v>46.946509374999998</v>
      </c>
      <c r="AZ18" s="27">
        <v>4217.6499999999996</v>
      </c>
      <c r="BA18" s="27">
        <v>7680.63</v>
      </c>
      <c r="BB18" s="27">
        <v>11.03</v>
      </c>
      <c r="BC18" s="27">
        <v>35.997999999999998</v>
      </c>
      <c r="BE18" s="28">
        <f t="shared" si="14"/>
        <v>1.2396048610191348</v>
      </c>
      <c r="BF18" s="29">
        <f t="shared" si="15"/>
        <v>0</v>
      </c>
      <c r="BG18" s="29">
        <f t="shared" si="16"/>
        <v>5.1309997286058451E-2</v>
      </c>
      <c r="BH18" s="29"/>
      <c r="BJ18" s="28"/>
      <c r="BK18" s="28"/>
      <c r="BL18" s="28"/>
      <c r="BM18" s="28"/>
      <c r="BN18" s="28"/>
      <c r="BP18" s="28"/>
      <c r="BQ18" s="28"/>
      <c r="BR18" s="28"/>
      <c r="BS18" s="28"/>
      <c r="BT18" s="28"/>
      <c r="BV18">
        <f t="shared" si="17"/>
        <v>0</v>
      </c>
      <c r="BW18">
        <f t="shared" si="18"/>
        <v>0</v>
      </c>
      <c r="BX18">
        <f t="shared" si="19"/>
        <v>0</v>
      </c>
      <c r="BY18">
        <f t="shared" si="20"/>
        <v>793040</v>
      </c>
      <c r="BZ18">
        <f t="shared" si="21"/>
        <v>556984</v>
      </c>
      <c r="CA18">
        <f t="shared" si="22"/>
        <v>210064</v>
      </c>
      <c r="CB18">
        <f t="shared" si="23"/>
        <v>25992</v>
      </c>
      <c r="CC18">
        <f t="shared" si="24"/>
        <v>-0.19176250000002426</v>
      </c>
      <c r="CD18">
        <f t="shared" si="25"/>
        <v>-0.28354062499998633</v>
      </c>
      <c r="CE18">
        <f t="shared" si="26"/>
        <v>1.9184375000001808E-2</v>
      </c>
      <c r="CF18">
        <f t="shared" si="27"/>
        <v>2.8865624999880879E-2</v>
      </c>
      <c r="CG18">
        <f t="shared" si="28"/>
        <v>6.6137499999989302E-2</v>
      </c>
      <c r="CJ18" t="s">
        <v>239</v>
      </c>
    </row>
    <row r="19" spans="1:88" ht="15.75" customHeight="1" outlineLevel="1" thickBot="1" x14ac:dyDescent="0.3">
      <c r="A19" s="10"/>
      <c r="B19" s="30" t="s">
        <v>64</v>
      </c>
      <c r="C19" s="31" t="s">
        <v>243</v>
      </c>
      <c r="D19" s="30">
        <v>33947718</v>
      </c>
      <c r="E19" s="31">
        <v>10</v>
      </c>
      <c r="F19" s="31">
        <v>32</v>
      </c>
      <c r="G19" s="31">
        <v>30</v>
      </c>
      <c r="I19" s="32">
        <f t="shared" si="0"/>
        <v>14.107275</v>
      </c>
      <c r="J19" s="33">
        <f t="shared" si="1"/>
        <v>0.44326278426137511</v>
      </c>
      <c r="K19" s="33">
        <f t="shared" si="2"/>
        <v>0.16582369395197638</v>
      </c>
      <c r="L19" s="33">
        <f t="shared" si="3"/>
        <v>0.12174509049474254</v>
      </c>
      <c r="M19" s="33">
        <f t="shared" si="4"/>
        <v>0.27743909030939873</v>
      </c>
      <c r="N19" s="30">
        <f t="shared" si="5"/>
        <v>5629336</v>
      </c>
      <c r="O19" s="33">
        <f t="shared" si="6"/>
        <v>0.45572637592083681</v>
      </c>
      <c r="P19" s="34">
        <v>33019287</v>
      </c>
      <c r="Q19" s="34">
        <v>1031852.71875</v>
      </c>
      <c r="R19" s="34">
        <v>17626.4375</v>
      </c>
      <c r="S19" s="35">
        <v>15047760</v>
      </c>
      <c r="T19" s="35">
        <v>4132968</v>
      </c>
      <c r="U19" s="35">
        <v>1496368</v>
      </c>
      <c r="V19" s="35">
        <v>9418424</v>
      </c>
      <c r="W19" s="36">
        <v>71.188796875000023</v>
      </c>
      <c r="X19" s="36">
        <v>75.072268749999978</v>
      </c>
      <c r="Y19" s="36">
        <v>38.583975000000009</v>
      </c>
      <c r="Z19" s="36">
        <v>48.172518750000009</v>
      </c>
      <c r="AA19" s="36">
        <v>48.720956250000008</v>
      </c>
      <c r="AB19" s="37">
        <v>4696.0600000000004</v>
      </c>
      <c r="AC19" s="37">
        <v>6113.51</v>
      </c>
      <c r="AD19" s="37">
        <v>14.28</v>
      </c>
      <c r="AE19" s="37">
        <v>11.128</v>
      </c>
      <c r="AG19" s="32">
        <f t="shared" si="7"/>
        <v>13.673602499999999</v>
      </c>
      <c r="AH19" s="33">
        <f t="shared" si="8"/>
        <v>0.42963641915488987</v>
      </c>
      <c r="AI19" s="33">
        <f t="shared" si="9"/>
        <v>0.19900789796828169</v>
      </c>
      <c r="AJ19" s="33">
        <f t="shared" si="10"/>
        <v>0.14497893496110695</v>
      </c>
      <c r="AK19" s="33">
        <f t="shared" si="11"/>
        <v>0.23062852118660818</v>
      </c>
      <c r="AL19" s="30">
        <f t="shared" si="12"/>
        <v>6755864</v>
      </c>
      <c r="AM19" s="33">
        <f t="shared" si="13"/>
        <v>0.44171686687238282</v>
      </c>
      <c r="AN19" s="34">
        <v>33019287</v>
      </c>
      <c r="AO19" s="34">
        <v>1031852.71875</v>
      </c>
      <c r="AP19" s="34">
        <v>17626.4375</v>
      </c>
      <c r="AQ19" s="35">
        <v>14585176</v>
      </c>
      <c r="AR19" s="35">
        <v>4921704</v>
      </c>
      <c r="AS19" s="35">
        <v>1834160</v>
      </c>
      <c r="AT19" s="35">
        <v>7829312</v>
      </c>
      <c r="AU19" s="36">
        <v>71.197456249999902</v>
      </c>
      <c r="AV19" s="36">
        <v>74.962337500000004</v>
      </c>
      <c r="AW19" s="36">
        <v>38.701181249999998</v>
      </c>
      <c r="AX19" s="36">
        <v>48.147156249999902</v>
      </c>
      <c r="AY19" s="36">
        <v>48.734193750000003</v>
      </c>
      <c r="AZ19" s="37">
        <v>4207.95</v>
      </c>
      <c r="BA19" s="37">
        <v>8666.98</v>
      </c>
      <c r="BB19" s="37">
        <v>10.295999999999999</v>
      </c>
      <c r="BC19" s="37">
        <v>38.201000000000001</v>
      </c>
      <c r="BE19" s="38">
        <f t="shared" si="14"/>
        <v>1.2001173850699265</v>
      </c>
      <c r="BF19" s="39">
        <f t="shared" si="15"/>
        <v>0</v>
      </c>
      <c r="BG19" s="39">
        <f t="shared" si="16"/>
        <v>8.9102779488946515E-2</v>
      </c>
      <c r="BH19" s="39"/>
      <c r="BJ19" s="38"/>
      <c r="BK19" s="38"/>
      <c r="BL19" s="38"/>
      <c r="BM19" s="38"/>
      <c r="BN19" s="38"/>
      <c r="BP19" s="38"/>
      <c r="BQ19" s="38"/>
      <c r="BR19" s="38"/>
      <c r="BS19" s="38"/>
      <c r="BT19" s="38"/>
      <c r="BV19">
        <f t="shared" si="17"/>
        <v>0</v>
      </c>
      <c r="BW19">
        <f t="shared" si="18"/>
        <v>0</v>
      </c>
      <c r="BX19">
        <f t="shared" si="19"/>
        <v>0</v>
      </c>
      <c r="BY19">
        <f t="shared" si="20"/>
        <v>-462584</v>
      </c>
      <c r="BZ19">
        <f t="shared" si="21"/>
        <v>788736</v>
      </c>
      <c r="CA19">
        <f t="shared" si="22"/>
        <v>337792</v>
      </c>
      <c r="CB19">
        <f t="shared" si="23"/>
        <v>-1589112</v>
      </c>
      <c r="CC19">
        <f t="shared" si="24"/>
        <v>8.6593749998797875E-3</v>
      </c>
      <c r="CD19">
        <f t="shared" si="25"/>
        <v>-0.10993124999997406</v>
      </c>
      <c r="CE19">
        <f t="shared" si="26"/>
        <v>0.11720624999998819</v>
      </c>
      <c r="CF19">
        <f t="shared" si="27"/>
        <v>-2.5362500000106536E-2</v>
      </c>
      <c r="CG19">
        <f t="shared" si="28"/>
        <v>1.323749999999535E-2</v>
      </c>
      <c r="CJ19" t="s">
        <v>239</v>
      </c>
    </row>
    <row r="20" spans="1:88" x14ac:dyDescent="0.25">
      <c r="A20" s="20"/>
      <c r="B20" s="20" t="s">
        <v>70</v>
      </c>
      <c r="C20" s="21" t="s">
        <v>238</v>
      </c>
      <c r="D20" s="20">
        <v>32209643</v>
      </c>
      <c r="E20" s="21">
        <v>10</v>
      </c>
      <c r="F20" s="21">
        <v>32</v>
      </c>
      <c r="G20" s="21">
        <v>50</v>
      </c>
      <c r="I20" s="22">
        <f t="shared" si="0"/>
        <v>2.0287375000000001</v>
      </c>
      <c r="J20" s="23">
        <f t="shared" si="1"/>
        <v>4.031066100297976E-2</v>
      </c>
      <c r="K20" s="23">
        <f t="shared" si="2"/>
        <v>3.0730672798826117E-2</v>
      </c>
      <c r="L20" s="23">
        <f t="shared" si="3"/>
        <v>1.7879366126473367E-2</v>
      </c>
      <c r="M20" s="23">
        <f t="shared" si="4"/>
        <v>9.5799882041536447E-3</v>
      </c>
      <c r="N20" s="20">
        <f t="shared" si="5"/>
        <v>989824</v>
      </c>
      <c r="O20" s="23">
        <f t="shared" si="6"/>
        <v>4.2738995291011925E-2</v>
      </c>
      <c r="P20" s="24">
        <v>30379563</v>
      </c>
      <c r="Q20" s="24">
        <v>949361.34375</v>
      </c>
      <c r="R20" s="24">
        <v>28427.8125</v>
      </c>
      <c r="S20" s="25">
        <v>1298392</v>
      </c>
      <c r="T20" s="25">
        <v>575888</v>
      </c>
      <c r="U20" s="25">
        <v>413936</v>
      </c>
      <c r="V20" s="25">
        <v>308568</v>
      </c>
      <c r="W20" s="26">
        <v>67.240771874999993</v>
      </c>
      <c r="X20" s="26">
        <v>68.976050000000015</v>
      </c>
      <c r="Y20" s="26">
        <v>30.126803124999999</v>
      </c>
      <c r="Z20" s="26">
        <v>39.571609375000001</v>
      </c>
      <c r="AA20" s="26">
        <v>38.099418750000012</v>
      </c>
      <c r="AB20" s="27">
        <v>4374.22</v>
      </c>
      <c r="AC20" s="27">
        <v>4315.1000000000004</v>
      </c>
      <c r="AD20" s="27">
        <v>13.516</v>
      </c>
      <c r="AE20" s="27">
        <v>8.3840000000000003</v>
      </c>
      <c r="AG20" s="22">
        <f t="shared" si="7"/>
        <v>3.7292624999999999</v>
      </c>
      <c r="AH20" s="23">
        <f t="shared" si="8"/>
        <v>7.4099796759622583E-2</v>
      </c>
      <c r="AI20" s="23">
        <f t="shared" si="9"/>
        <v>5.5420421766239382E-2</v>
      </c>
      <c r="AJ20" s="23">
        <f t="shared" si="10"/>
        <v>2.9145557434461476E-2</v>
      </c>
      <c r="AK20" s="23">
        <f t="shared" si="11"/>
        <v>1.8679374993383194E-2</v>
      </c>
      <c r="AL20" s="20">
        <f t="shared" si="12"/>
        <v>1785072</v>
      </c>
      <c r="AM20" s="23">
        <f t="shared" si="13"/>
        <v>7.8563605408017226E-2</v>
      </c>
      <c r="AN20" s="24">
        <v>30379563</v>
      </c>
      <c r="AO20" s="24">
        <v>949361.34375</v>
      </c>
      <c r="AP20" s="24">
        <v>28427.8125</v>
      </c>
      <c r="AQ20" s="25">
        <v>2386728</v>
      </c>
      <c r="AR20" s="25">
        <v>938768</v>
      </c>
      <c r="AS20" s="25">
        <v>846304</v>
      </c>
      <c r="AT20" s="25">
        <v>601656</v>
      </c>
      <c r="AU20" s="26">
        <v>65.983181250000001</v>
      </c>
      <c r="AV20" s="26">
        <v>67.427784374999902</v>
      </c>
      <c r="AW20" s="26">
        <v>29.853581249999898</v>
      </c>
      <c r="AX20" s="26">
        <v>38.711512499999998</v>
      </c>
      <c r="AY20" s="26">
        <v>37.416996875000002</v>
      </c>
      <c r="AZ20" s="27">
        <v>3605.82</v>
      </c>
      <c r="BA20" s="27">
        <v>5921.06</v>
      </c>
      <c r="BB20" s="27">
        <v>10.096</v>
      </c>
      <c r="BC20" s="27">
        <v>31.3</v>
      </c>
      <c r="BE20" s="28">
        <f t="shared" si="14"/>
        <v>1.8034236389499545</v>
      </c>
      <c r="BF20" s="29">
        <f t="shared" si="15"/>
        <v>0</v>
      </c>
      <c r="BG20" s="29">
        <f t="shared" si="16"/>
        <v>-1.4430064989315317E-2</v>
      </c>
      <c r="BH20" s="29">
        <f t="array" ref="BH20">AVERAGE(AL20:AL24/AQ20:AQ24) - AVERAGE(N20:N24/S20:S24)</f>
        <v>2.9057056249510937E-2</v>
      </c>
      <c r="BJ20" s="28">
        <f>IF( OR(ISBLANK(N20:N24),ISBLANK(AL20:AL24), ISBLANK(W20:W24),ISBLANK(AU20:AU24)), "·", bdRateExtend( N20:N24,W20:W24, AL20:AL24,AU20:AU24))</f>
        <v>1.3452869935907885</v>
      </c>
      <c r="BK20" s="28">
        <f>IF( OR(ISBLANK(N20:N24),ISBLANK(AL20:AL24), ISBLANK(X20:X24),ISBLANK(AV20:AV24)), "·", bdRateExtend( N20:N24,X20:X24, AL20:AL24,AV20:AV24))</f>
        <v>1.3845659475622227</v>
      </c>
      <c r="BL20" s="28">
        <f>IF( OR(ISBLANK(V20:V24),ISBLANK(AT20:AT24), ISBLANK(Y20:Y24),ISBLANK(AW20:AW24)), "·", bdRateExtend( V20:V24,Y20:Y24, AT20:AT24,AW20:AW24))</f>
        <v>0.54564638431820978</v>
      </c>
      <c r="BM20" s="28">
        <f>IF( OR(ISBLANK(V20:V24),ISBLANK(AT20:AT24), ISBLANK(Z20:Z24),ISBLANK(AX20:AX24)), "·", bdRateExtend( V20:V24,Z20:Z24, AT20:AT24,AX20:AX24))</f>
        <v>0.67102849121049823</v>
      </c>
      <c r="BN20" s="28">
        <f>IF( OR(ISBLANK(V20:V24),ISBLANK(AT20:AT24), ISBLANK(AA20:AA24),ISBLANK(AY20:AY24)), "·", bdRateExtend( V20:V24,AA20:AA24, AT20:AT24,AY20:AY24))</f>
        <v>0.69478968250656092</v>
      </c>
      <c r="BP20" s="28">
        <f>IF( OR(ISBLANK(S20:S24),ISBLANK(AQ20:AQ24), ISBLANK(W20:W24),ISBLANK(AU20:AU24)), "·", bdRateExtend( S20:S24,W20:W24, AQ20:AQ24,AU20:AU24))</f>
        <v>1.9786829289475998</v>
      </c>
      <c r="BQ20" s="28">
        <f>IF( OR(ISBLANK(S20:S24),ISBLANK(AQ20:AQ24), ISBLANK(X20:X24),ISBLANK(AV20:AV24)), "·", bdRateExtend( S20:S24,X20:X24, AQ20:AQ24,AV20:AV24))</f>
        <v>1.9990063727403364</v>
      </c>
      <c r="BR20" s="28">
        <f>IF( OR(ISBLANK(S20:S24),ISBLANK(AQ20:AQ24), ISBLANK(Y20:Y24),ISBLANK(AW20:AW24)), "·", bdRateExtend( S20:S24,Y20:Y24, AQ20:AQ24,AW20:AW24))</f>
        <v>0.60539941185432777</v>
      </c>
      <c r="BS20" s="28">
        <f>IF( OR(ISBLANK(S20:S24),ISBLANK(AQ20:AQ24), ISBLANK(Z20:Z24),ISBLANK(AX20:AX24)), "·", bdRateExtend( S20:S24,Z20:Z24, AQ20:AQ24,AX20:AX24))</f>
        <v>0.65603285063307082</v>
      </c>
      <c r="BT20" s="28">
        <f>IF( OR(ISBLANK(S20:S24),ISBLANK(AQ20:AQ24), ISBLANK(AA20:AA24),ISBLANK(AY20:AY24)), "·", bdRateExtend( S20:S24,AA20:AA24, AQ20:AQ24,AY20:AY24))</f>
        <v>0.67520718362072407</v>
      </c>
      <c r="BV20">
        <f t="shared" si="17"/>
        <v>0</v>
      </c>
      <c r="BW20">
        <f t="shared" si="18"/>
        <v>0</v>
      </c>
      <c r="BX20">
        <f t="shared" si="19"/>
        <v>0</v>
      </c>
      <c r="BY20">
        <f t="shared" si="20"/>
        <v>1088336</v>
      </c>
      <c r="BZ20">
        <f t="shared" si="21"/>
        <v>362880</v>
      </c>
      <c r="CA20">
        <f t="shared" si="22"/>
        <v>432368</v>
      </c>
      <c r="CB20">
        <f t="shared" si="23"/>
        <v>293088</v>
      </c>
      <c r="CC20">
        <f t="shared" si="24"/>
        <v>-1.2575906249999917</v>
      </c>
      <c r="CD20">
        <f t="shared" si="25"/>
        <v>-1.5482656250001128</v>
      </c>
      <c r="CE20">
        <f t="shared" si="26"/>
        <v>-0.27322187500010031</v>
      </c>
      <c r="CF20">
        <f t="shared" si="27"/>
        <v>-0.86009687500000354</v>
      </c>
      <c r="CG20">
        <f t="shared" si="28"/>
        <v>-0.68242187500000995</v>
      </c>
      <c r="CJ20" t="s">
        <v>245</v>
      </c>
    </row>
    <row r="21" spans="1:88" outlineLevel="1" x14ac:dyDescent="0.25">
      <c r="A21" s="10"/>
      <c r="B21" s="10" t="s">
        <v>70</v>
      </c>
      <c r="C21" s="11" t="s">
        <v>240</v>
      </c>
      <c r="D21" s="10">
        <v>32209643</v>
      </c>
      <c r="E21" s="11">
        <v>10</v>
      </c>
      <c r="F21" s="11">
        <v>32</v>
      </c>
      <c r="G21" s="11">
        <v>50</v>
      </c>
      <c r="I21" s="12">
        <f t="shared" si="0"/>
        <v>2.8500624999999999</v>
      </c>
      <c r="J21" s="13">
        <f t="shared" si="1"/>
        <v>5.6630245793162004E-2</v>
      </c>
      <c r="K21" s="13">
        <f t="shared" si="2"/>
        <v>3.652098845057053E-2</v>
      </c>
      <c r="L21" s="13">
        <f t="shared" si="3"/>
        <v>2.3669681778217783E-2</v>
      </c>
      <c r="M21" s="13">
        <f t="shared" si="4"/>
        <v>2.0109257342591471E-2</v>
      </c>
      <c r="N21" s="10">
        <f t="shared" si="5"/>
        <v>1176328</v>
      </c>
      <c r="O21" s="13">
        <f t="shared" si="6"/>
        <v>5.7546481330677669E-2</v>
      </c>
      <c r="P21" s="14">
        <v>31696812</v>
      </c>
      <c r="Q21" s="14">
        <v>990525.375</v>
      </c>
      <c r="R21" s="14">
        <v>33162.625</v>
      </c>
      <c r="S21" s="15">
        <v>1824040</v>
      </c>
      <c r="T21" s="15">
        <v>762392</v>
      </c>
      <c r="U21" s="15">
        <v>413936</v>
      </c>
      <c r="V21" s="15">
        <v>647712</v>
      </c>
      <c r="W21" s="16">
        <v>68.860878124999999</v>
      </c>
      <c r="X21" s="16">
        <v>70.982453125000006</v>
      </c>
      <c r="Y21" s="16">
        <v>31.613462500000001</v>
      </c>
      <c r="Z21" s="16">
        <v>40.539050000000003</v>
      </c>
      <c r="AA21" s="16">
        <v>39.307671874999997</v>
      </c>
      <c r="AB21" s="17">
        <v>4384.62</v>
      </c>
      <c r="AC21" s="17">
        <v>4613.0200000000004</v>
      </c>
      <c r="AD21" s="17">
        <v>14.023999999999999</v>
      </c>
      <c r="AE21" s="17">
        <v>9.1319999999999997</v>
      </c>
      <c r="AG21" s="12">
        <f t="shared" si="7"/>
        <v>4.8955374999999997</v>
      </c>
      <c r="AH21" s="13">
        <f t="shared" si="8"/>
        <v>9.7273478007812747E-2</v>
      </c>
      <c r="AI21" s="13">
        <f t="shared" si="9"/>
        <v>6.3610018900240525E-2</v>
      </c>
      <c r="AJ21" s="13">
        <f t="shared" si="10"/>
        <v>3.733515456846262E-2</v>
      </c>
      <c r="AK21" s="13">
        <f t="shared" si="11"/>
        <v>3.3663459107572229E-2</v>
      </c>
      <c r="AL21" s="10">
        <f t="shared" si="12"/>
        <v>2048856</v>
      </c>
      <c r="AM21" s="13">
        <f t="shared" si="13"/>
        <v>9.8847291014629482E-2</v>
      </c>
      <c r="AN21" s="14">
        <v>31696812</v>
      </c>
      <c r="AO21" s="14">
        <v>990525.375</v>
      </c>
      <c r="AP21" s="14">
        <v>33162.625</v>
      </c>
      <c r="AQ21" s="15">
        <v>3133144</v>
      </c>
      <c r="AR21" s="15">
        <v>1202552</v>
      </c>
      <c r="AS21" s="15">
        <v>846304</v>
      </c>
      <c r="AT21" s="15">
        <v>1084288</v>
      </c>
      <c r="AU21" s="16">
        <v>67.53034375</v>
      </c>
      <c r="AV21" s="16">
        <v>69.318049999999999</v>
      </c>
      <c r="AW21" s="16">
        <v>31.519874999999999</v>
      </c>
      <c r="AX21" s="16">
        <v>40.06785</v>
      </c>
      <c r="AY21" s="16">
        <v>38.924003124999999</v>
      </c>
      <c r="AZ21" s="17">
        <v>3619.53</v>
      </c>
      <c r="BA21" s="17">
        <v>6313.14</v>
      </c>
      <c r="BB21" s="17">
        <v>9.4809999999999999</v>
      </c>
      <c r="BC21" s="17">
        <v>30.45</v>
      </c>
      <c r="BE21" s="18">
        <f t="shared" si="14"/>
        <v>1.7417386987302863</v>
      </c>
      <c r="BF21" s="19">
        <f t="shared" si="15"/>
        <v>0</v>
      </c>
      <c r="BG21" s="19">
        <f t="shared" si="16"/>
        <v>9.0272027500807317E-3</v>
      </c>
      <c r="BH21" s="19"/>
      <c r="BJ21" s="18"/>
      <c r="BK21" s="18"/>
      <c r="BL21" s="18"/>
      <c r="BM21" s="18"/>
      <c r="BN21" s="18"/>
      <c r="BP21" s="18"/>
      <c r="BQ21" s="18"/>
      <c r="BR21" s="18"/>
      <c r="BS21" s="18"/>
      <c r="BT21" s="18"/>
      <c r="BV21">
        <f t="shared" si="17"/>
        <v>0</v>
      </c>
      <c r="BW21">
        <f t="shared" si="18"/>
        <v>0</v>
      </c>
      <c r="BX21">
        <f t="shared" si="19"/>
        <v>0</v>
      </c>
      <c r="BY21">
        <f t="shared" si="20"/>
        <v>1309104</v>
      </c>
      <c r="BZ21">
        <f t="shared" si="21"/>
        <v>440160</v>
      </c>
      <c r="CA21">
        <f t="shared" si="22"/>
        <v>432368</v>
      </c>
      <c r="CB21">
        <f t="shared" si="23"/>
        <v>436576</v>
      </c>
      <c r="CC21">
        <f t="shared" si="24"/>
        <v>-1.3305343749999992</v>
      </c>
      <c r="CD21">
        <f t="shared" si="25"/>
        <v>-1.6644031250000069</v>
      </c>
      <c r="CE21">
        <f t="shared" si="26"/>
        <v>-9.3587500000001711E-2</v>
      </c>
      <c r="CF21">
        <f t="shared" si="27"/>
        <v>-0.47120000000000317</v>
      </c>
      <c r="CG21">
        <f t="shared" si="28"/>
        <v>-0.38366874999999823</v>
      </c>
      <c r="CJ21" t="s">
        <v>245</v>
      </c>
    </row>
    <row r="22" spans="1:88" outlineLevel="1" x14ac:dyDescent="0.25">
      <c r="A22" s="20"/>
      <c r="B22" s="20" t="s">
        <v>70</v>
      </c>
      <c r="C22" s="21" t="s">
        <v>241</v>
      </c>
      <c r="D22" s="20">
        <v>32209643</v>
      </c>
      <c r="E22" s="21">
        <v>10</v>
      </c>
      <c r="F22" s="21">
        <v>32</v>
      </c>
      <c r="G22" s="21">
        <v>50</v>
      </c>
      <c r="I22" s="22">
        <f t="shared" si="0"/>
        <v>4.7441000000000004</v>
      </c>
      <c r="J22" s="23">
        <f t="shared" si="1"/>
        <v>9.4264441242021837E-2</v>
      </c>
      <c r="K22" s="23">
        <f t="shared" si="2"/>
        <v>4.335471833698995E-2</v>
      </c>
      <c r="L22" s="23">
        <f t="shared" si="3"/>
        <v>3.0503411664637201E-2</v>
      </c>
      <c r="M22" s="23">
        <f t="shared" si="4"/>
        <v>5.0909722905031887E-2</v>
      </c>
      <c r="N22" s="20">
        <f t="shared" si="5"/>
        <v>1396440</v>
      </c>
      <c r="O22" s="23">
        <f t="shared" si="6"/>
        <v>9.312185435976103E-2</v>
      </c>
      <c r="P22" s="24">
        <v>32604849</v>
      </c>
      <c r="Q22" s="24">
        <v>1018901.53125</v>
      </c>
      <c r="R22" s="24">
        <v>34636.46875</v>
      </c>
      <c r="S22" s="25">
        <v>3036224</v>
      </c>
      <c r="T22" s="25">
        <v>982504</v>
      </c>
      <c r="U22" s="25">
        <v>413936</v>
      </c>
      <c r="V22" s="25">
        <v>1639784</v>
      </c>
      <c r="W22" s="26">
        <v>70.077665624999995</v>
      </c>
      <c r="X22" s="26">
        <v>72.535868750000006</v>
      </c>
      <c r="Y22" s="26">
        <v>33.592878124999999</v>
      </c>
      <c r="Z22" s="26">
        <v>41.654503124999998</v>
      </c>
      <c r="AA22" s="26">
        <v>40.562565625000012</v>
      </c>
      <c r="AB22" s="27">
        <v>4487.82</v>
      </c>
      <c r="AC22" s="27">
        <v>4819.1000000000004</v>
      </c>
      <c r="AD22" s="27">
        <v>14.16</v>
      </c>
      <c r="AE22" s="27">
        <v>9.6479999999999997</v>
      </c>
      <c r="AG22" s="22">
        <f t="shared" si="7"/>
        <v>7.0281000000000002</v>
      </c>
      <c r="AH22" s="23">
        <f t="shared" si="8"/>
        <v>0.1396471236890145</v>
      </c>
      <c r="AI22" s="23">
        <f t="shared" si="9"/>
        <v>7.1866179951140724E-2</v>
      </c>
      <c r="AJ22" s="23">
        <f t="shared" si="10"/>
        <v>4.5591315619362811E-2</v>
      </c>
      <c r="AK22" s="23">
        <f t="shared" si="11"/>
        <v>6.7780943737873772E-2</v>
      </c>
      <c r="AL22" s="20">
        <f t="shared" si="12"/>
        <v>2314784</v>
      </c>
      <c r="AM22" s="23">
        <f t="shared" si="13"/>
        <v>0.13795444965869955</v>
      </c>
      <c r="AN22" s="24">
        <v>32604849</v>
      </c>
      <c r="AO22" s="24">
        <v>1018901.53125</v>
      </c>
      <c r="AP22" s="24">
        <v>34636.46875</v>
      </c>
      <c r="AQ22" s="25">
        <v>4497984</v>
      </c>
      <c r="AR22" s="25">
        <v>1468480</v>
      </c>
      <c r="AS22" s="25">
        <v>846304</v>
      </c>
      <c r="AT22" s="25">
        <v>2183200</v>
      </c>
      <c r="AU22" s="26">
        <v>68.6355312499999</v>
      </c>
      <c r="AV22" s="26">
        <v>70.6886875</v>
      </c>
      <c r="AW22" s="26">
        <v>33.415696874999902</v>
      </c>
      <c r="AX22" s="26">
        <v>41.443231249999997</v>
      </c>
      <c r="AY22" s="26">
        <v>40.303606250000001</v>
      </c>
      <c r="AZ22" s="27">
        <v>3645.04</v>
      </c>
      <c r="BA22" s="27">
        <v>6588.15</v>
      </c>
      <c r="BB22" s="27">
        <v>9.766</v>
      </c>
      <c r="BC22" s="27">
        <v>31.056999999999999</v>
      </c>
      <c r="BE22" s="28">
        <f t="shared" si="14"/>
        <v>1.65763226490218</v>
      </c>
      <c r="BF22" s="29">
        <f t="shared" si="15"/>
        <v>0</v>
      </c>
      <c r="BG22" s="29">
        <f t="shared" si="16"/>
        <v>5.4700457004942471E-2</v>
      </c>
      <c r="BH22" s="29"/>
      <c r="BJ22" s="28"/>
      <c r="BK22" s="28"/>
      <c r="BL22" s="28"/>
      <c r="BM22" s="28"/>
      <c r="BN22" s="28"/>
      <c r="BP22" s="28"/>
      <c r="BQ22" s="28"/>
      <c r="BR22" s="28"/>
      <c r="BS22" s="28"/>
      <c r="BT22" s="28"/>
      <c r="BV22">
        <f t="shared" si="17"/>
        <v>0</v>
      </c>
      <c r="BW22">
        <f t="shared" si="18"/>
        <v>0</v>
      </c>
      <c r="BX22">
        <f t="shared" si="19"/>
        <v>0</v>
      </c>
      <c r="BY22">
        <f t="shared" si="20"/>
        <v>1461760</v>
      </c>
      <c r="BZ22">
        <f t="shared" si="21"/>
        <v>485976</v>
      </c>
      <c r="CA22">
        <f t="shared" si="22"/>
        <v>432368</v>
      </c>
      <c r="CB22">
        <f t="shared" si="23"/>
        <v>543416</v>
      </c>
      <c r="CC22">
        <f t="shared" si="24"/>
        <v>-1.4421343750000943</v>
      </c>
      <c r="CD22">
        <f t="shared" si="25"/>
        <v>-1.8471812500000055</v>
      </c>
      <c r="CE22">
        <f t="shared" si="26"/>
        <v>-0.17718125000009621</v>
      </c>
      <c r="CF22">
        <f t="shared" si="27"/>
        <v>-0.21127187500000133</v>
      </c>
      <c r="CG22">
        <f t="shared" si="28"/>
        <v>-0.25895937500001054</v>
      </c>
      <c r="CJ22" t="s">
        <v>245</v>
      </c>
    </row>
    <row r="23" spans="1:88" outlineLevel="1" x14ac:dyDescent="0.25">
      <c r="A23" s="10"/>
      <c r="B23" s="10" t="s">
        <v>70</v>
      </c>
      <c r="C23" s="11" t="s">
        <v>242</v>
      </c>
      <c r="D23" s="10">
        <v>32209643</v>
      </c>
      <c r="E23" s="11">
        <v>10</v>
      </c>
      <c r="F23" s="11">
        <v>32</v>
      </c>
      <c r="G23" s="11">
        <v>50</v>
      </c>
      <c r="I23" s="12">
        <f t="shared" si="0"/>
        <v>9.0589124999999999</v>
      </c>
      <c r="J23" s="13">
        <f t="shared" si="1"/>
        <v>0.17999901458081979</v>
      </c>
      <c r="K23" s="13">
        <f t="shared" si="2"/>
        <v>6.4348182933912063E-2</v>
      </c>
      <c r="L23" s="13">
        <f t="shared" si="3"/>
        <v>5.1496876261559313E-2</v>
      </c>
      <c r="M23" s="13">
        <f t="shared" si="4"/>
        <v>0.11565083164690773</v>
      </c>
      <c r="N23" s="10">
        <f t="shared" si="5"/>
        <v>2072632</v>
      </c>
      <c r="O23" s="13">
        <f t="shared" si="6"/>
        <v>0.17668753746192553</v>
      </c>
      <c r="P23" s="14">
        <v>32813316</v>
      </c>
      <c r="Q23" s="14">
        <v>1025416.125</v>
      </c>
      <c r="R23" s="14">
        <v>36587.4375</v>
      </c>
      <c r="S23" s="15">
        <v>5797704</v>
      </c>
      <c r="T23" s="15">
        <v>1658696</v>
      </c>
      <c r="U23" s="15">
        <v>413936</v>
      </c>
      <c r="V23" s="15">
        <v>3725072</v>
      </c>
      <c r="W23" s="16">
        <v>71.028415624999994</v>
      </c>
      <c r="X23" s="16">
        <v>73.777868749999996</v>
      </c>
      <c r="Y23" s="16">
        <v>35.446831249999988</v>
      </c>
      <c r="Z23" s="16">
        <v>42.698043749999989</v>
      </c>
      <c r="AA23" s="16">
        <v>41.52419062500001</v>
      </c>
      <c r="AB23" s="17">
        <v>4366.67</v>
      </c>
      <c r="AC23" s="17">
        <v>5211.79</v>
      </c>
      <c r="AD23" s="17">
        <v>13.888</v>
      </c>
      <c r="AE23" s="17">
        <v>9.9720000000000013</v>
      </c>
      <c r="AG23" s="12">
        <f t="shared" si="7"/>
        <v>12.3504</v>
      </c>
      <c r="AH23" s="13">
        <f t="shared" si="8"/>
        <v>0.24540029828955259</v>
      </c>
      <c r="AI23" s="13">
        <f t="shared" si="9"/>
        <v>0.10047872930476132</v>
      </c>
      <c r="AJ23" s="13">
        <f t="shared" si="10"/>
        <v>7.4203864972983397E-2</v>
      </c>
      <c r="AK23" s="13">
        <f t="shared" si="11"/>
        <v>0.1449215689847913</v>
      </c>
      <c r="AL23" s="10">
        <f t="shared" si="12"/>
        <v>3236384</v>
      </c>
      <c r="AM23" s="13">
        <f t="shared" si="13"/>
        <v>0.24088562094730079</v>
      </c>
      <c r="AN23" s="14">
        <v>32813316</v>
      </c>
      <c r="AO23" s="14">
        <v>1025416.125</v>
      </c>
      <c r="AP23" s="14">
        <v>36587.4375</v>
      </c>
      <c r="AQ23" s="15">
        <v>7904256</v>
      </c>
      <c r="AR23" s="15">
        <v>2390080</v>
      </c>
      <c r="AS23" s="15">
        <v>846304</v>
      </c>
      <c r="AT23" s="15">
        <v>4667872</v>
      </c>
      <c r="AU23" s="16">
        <v>69.395506249999997</v>
      </c>
      <c r="AV23" s="16">
        <v>71.643093750000006</v>
      </c>
      <c r="AW23" s="16">
        <v>35.140984374999903</v>
      </c>
      <c r="AX23" s="16">
        <v>42.628846875000001</v>
      </c>
      <c r="AY23" s="16">
        <v>41.503609375000003</v>
      </c>
      <c r="AZ23" s="17">
        <v>3580.56</v>
      </c>
      <c r="BA23" s="17">
        <v>7037.88</v>
      </c>
      <c r="BB23" s="17">
        <v>9.625</v>
      </c>
      <c r="BC23" s="17">
        <v>31.782</v>
      </c>
      <c r="BE23" s="18">
        <f t="shared" si="14"/>
        <v>1.5614851068592976</v>
      </c>
      <c r="BF23" s="19">
        <f t="shared" si="15"/>
        <v>0</v>
      </c>
      <c r="BG23" s="19">
        <f t="shared" si="16"/>
        <v>5.1956414683050289E-2</v>
      </c>
      <c r="BH23" s="19"/>
      <c r="BJ23" s="18"/>
      <c r="BK23" s="18"/>
      <c r="BL23" s="18"/>
      <c r="BM23" s="18"/>
      <c r="BN23" s="18"/>
      <c r="BP23" s="18"/>
      <c r="BQ23" s="18"/>
      <c r="BR23" s="18"/>
      <c r="BS23" s="18"/>
      <c r="BT23" s="18"/>
      <c r="BV23">
        <f t="shared" si="17"/>
        <v>0</v>
      </c>
      <c r="BW23">
        <f t="shared" si="18"/>
        <v>0</v>
      </c>
      <c r="BX23">
        <f t="shared" si="19"/>
        <v>0</v>
      </c>
      <c r="BY23">
        <f t="shared" si="20"/>
        <v>2106552</v>
      </c>
      <c r="BZ23">
        <f t="shared" si="21"/>
        <v>731384</v>
      </c>
      <c r="CA23">
        <f t="shared" si="22"/>
        <v>432368</v>
      </c>
      <c r="CB23">
        <f t="shared" si="23"/>
        <v>942800</v>
      </c>
      <c r="CC23">
        <f t="shared" si="24"/>
        <v>-1.632909374999997</v>
      </c>
      <c r="CD23">
        <f t="shared" si="25"/>
        <v>-2.1347749999999905</v>
      </c>
      <c r="CE23">
        <f t="shared" si="26"/>
        <v>-0.30584687500008556</v>
      </c>
      <c r="CF23">
        <f t="shared" si="27"/>
        <v>-6.9196874999988722E-2</v>
      </c>
      <c r="CG23">
        <f t="shared" si="28"/>
        <v>-2.0581250000006435E-2</v>
      </c>
      <c r="CJ23" t="s">
        <v>245</v>
      </c>
    </row>
    <row r="24" spans="1:88" ht="15.75" customHeight="1" outlineLevel="1" thickBot="1" x14ac:dyDescent="0.3">
      <c r="A24" s="40"/>
      <c r="B24" s="40" t="s">
        <v>70</v>
      </c>
      <c r="C24" s="41" t="s">
        <v>243</v>
      </c>
      <c r="D24" s="40">
        <v>32209643</v>
      </c>
      <c r="E24" s="41">
        <v>10</v>
      </c>
      <c r="F24" s="41">
        <v>32</v>
      </c>
      <c r="G24" s="41">
        <v>50</v>
      </c>
      <c r="I24" s="42">
        <f t="shared" si="0"/>
        <v>17.8507</v>
      </c>
      <c r="J24" s="43">
        <f t="shared" si="1"/>
        <v>0.35469030190741324</v>
      </c>
      <c r="K24" s="43">
        <f t="shared" si="2"/>
        <v>0.11080656808273225</v>
      </c>
      <c r="L24" s="43">
        <f t="shared" si="3"/>
        <v>8.2587192909899687E-2</v>
      </c>
      <c r="M24" s="43">
        <f t="shared" si="4"/>
        <v>0.24388373382468101</v>
      </c>
      <c r="N24" s="40">
        <f t="shared" si="5"/>
        <v>3569040</v>
      </c>
      <c r="O24" s="43">
        <f t="shared" si="6"/>
        <v>0.36529022071629758</v>
      </c>
      <c r="P24" s="44">
        <v>31274990</v>
      </c>
      <c r="Q24" s="44">
        <v>977343.4375</v>
      </c>
      <c r="R24" s="44">
        <v>17772.0625</v>
      </c>
      <c r="S24" s="45">
        <v>11424448</v>
      </c>
      <c r="T24" s="45">
        <v>2660104</v>
      </c>
      <c r="U24" s="45">
        <v>908936</v>
      </c>
      <c r="V24" s="45">
        <v>7855408</v>
      </c>
      <c r="W24" s="46">
        <v>71.773606250000014</v>
      </c>
      <c r="X24" s="46">
        <v>75.813893750000005</v>
      </c>
      <c r="Y24" s="46">
        <v>36.891021874999993</v>
      </c>
      <c r="Z24" s="46">
        <v>43.496731250000003</v>
      </c>
      <c r="AA24" s="46">
        <v>42.067771874999998</v>
      </c>
      <c r="AB24" s="47">
        <v>4317.46</v>
      </c>
      <c r="AC24" s="47">
        <v>6202.97</v>
      </c>
      <c r="AD24" s="47">
        <v>13.688000000000001</v>
      </c>
      <c r="AE24" s="47">
        <v>11.608000000000001</v>
      </c>
      <c r="AG24" s="42">
        <f t="shared" si="7"/>
        <v>22.999075000000001</v>
      </c>
      <c r="AH24" s="43">
        <f t="shared" si="8"/>
        <v>0.45698761703133439</v>
      </c>
      <c r="AI24" s="43">
        <f t="shared" si="9"/>
        <v>0.16288637536280673</v>
      </c>
      <c r="AJ24" s="43">
        <f t="shared" si="10"/>
        <v>0.11504008287207654</v>
      </c>
      <c r="AK24" s="43">
        <f t="shared" si="11"/>
        <v>0.29410124166852764</v>
      </c>
      <c r="AL24" s="40">
        <f t="shared" si="12"/>
        <v>5246512</v>
      </c>
      <c r="AM24" s="43">
        <f t="shared" si="13"/>
        <v>0.47064469085361815</v>
      </c>
      <c r="AN24" s="44">
        <v>31274990</v>
      </c>
      <c r="AO24" s="44">
        <v>977343.4375</v>
      </c>
      <c r="AP24" s="44">
        <v>17772.0625</v>
      </c>
      <c r="AQ24" s="45">
        <v>14719408</v>
      </c>
      <c r="AR24" s="45">
        <v>3705400</v>
      </c>
      <c r="AS24" s="45">
        <v>1541112</v>
      </c>
      <c r="AT24" s="45">
        <v>9472896</v>
      </c>
      <c r="AU24" s="46">
        <v>70.373559374999999</v>
      </c>
      <c r="AV24" s="46">
        <v>73.306787499999999</v>
      </c>
      <c r="AW24" s="46">
        <v>36.838218749999903</v>
      </c>
      <c r="AX24" s="46">
        <v>43.525396874999998</v>
      </c>
      <c r="AY24" s="46">
        <v>42.184078124999999</v>
      </c>
      <c r="AZ24" s="47">
        <v>3627.85</v>
      </c>
      <c r="BA24" s="47">
        <v>7764.09</v>
      </c>
      <c r="BB24" s="47">
        <v>9.3529999999999998</v>
      </c>
      <c r="BC24" s="47">
        <v>33.429000000000002</v>
      </c>
      <c r="BE24" s="48">
        <f t="shared" si="14"/>
        <v>1.4700065003474323</v>
      </c>
      <c r="BF24" s="49">
        <f t="shared" si="15"/>
        <v>0</v>
      </c>
      <c r="BG24" s="49">
        <f t="shared" si="16"/>
        <v>4.4031271798796234E-2</v>
      </c>
      <c r="BH24" s="49"/>
      <c r="BJ24" s="48"/>
      <c r="BK24" s="48"/>
      <c r="BL24" s="48"/>
      <c r="BM24" s="48"/>
      <c r="BN24" s="48"/>
      <c r="BP24" s="48"/>
      <c r="BQ24" s="48"/>
      <c r="BR24" s="48"/>
      <c r="BS24" s="48"/>
      <c r="BT24" s="48"/>
      <c r="BV24">
        <f t="shared" si="17"/>
        <v>0</v>
      </c>
      <c r="BW24">
        <f t="shared" si="18"/>
        <v>0</v>
      </c>
      <c r="BX24">
        <f t="shared" si="19"/>
        <v>0</v>
      </c>
      <c r="BY24">
        <f t="shared" si="20"/>
        <v>3294960</v>
      </c>
      <c r="BZ24">
        <f t="shared" si="21"/>
        <v>1045296</v>
      </c>
      <c r="CA24">
        <f t="shared" si="22"/>
        <v>632176</v>
      </c>
      <c r="CB24">
        <f t="shared" si="23"/>
        <v>1617488</v>
      </c>
      <c r="CC24">
        <f t="shared" si="24"/>
        <v>-1.4000468750000152</v>
      </c>
      <c r="CD24">
        <f t="shared" si="25"/>
        <v>-2.5071062500000068</v>
      </c>
      <c r="CE24">
        <f t="shared" si="26"/>
        <v>-5.2803125000089324E-2</v>
      </c>
      <c r="CF24">
        <f t="shared" si="27"/>
        <v>2.8665624999995032E-2</v>
      </c>
      <c r="CG24">
        <f t="shared" si="28"/>
        <v>0.11630625000000094</v>
      </c>
      <c r="CJ24" t="s">
        <v>245</v>
      </c>
    </row>
    <row r="25" spans="1:88" x14ac:dyDescent="0.25">
      <c r="A25" s="10" t="s">
        <v>246</v>
      </c>
      <c r="B25" s="10" t="s">
        <v>73</v>
      </c>
      <c r="C25" s="11" t="s">
        <v>238</v>
      </c>
      <c r="D25" s="10">
        <v>25312408</v>
      </c>
      <c r="E25" s="11">
        <v>10</v>
      </c>
      <c r="F25" s="11">
        <v>32</v>
      </c>
      <c r="G25" s="11">
        <v>30</v>
      </c>
      <c r="I25" s="12">
        <f t="shared" si="0"/>
        <v>2.0735399999999999</v>
      </c>
      <c r="J25" s="13">
        <f t="shared" si="1"/>
        <v>8.7379122523625563E-2</v>
      </c>
      <c r="K25" s="13">
        <f t="shared" si="2"/>
        <v>5.6512363422713478E-2</v>
      </c>
      <c r="L25" s="13">
        <f t="shared" si="3"/>
        <v>3.4663158084367159E-2</v>
      </c>
      <c r="M25" s="13">
        <f t="shared" si="4"/>
        <v>3.0866759100912092E-2</v>
      </c>
      <c r="N25" s="10">
        <f t="shared" si="5"/>
        <v>1430464</v>
      </c>
      <c r="O25" s="13">
        <f t="shared" si="6"/>
        <v>9.4424589697054639E-2</v>
      </c>
      <c r="P25" s="14">
        <v>23423729</v>
      </c>
      <c r="Q25" s="14">
        <v>731991.53125</v>
      </c>
      <c r="R25" s="14">
        <v>14345.71875</v>
      </c>
      <c r="S25" s="15">
        <v>2211776</v>
      </c>
      <c r="T25" s="15">
        <v>877408</v>
      </c>
      <c r="U25" s="15">
        <v>553056</v>
      </c>
      <c r="V25" s="15">
        <v>781312</v>
      </c>
      <c r="W25" s="16">
        <v>66.249403125000001</v>
      </c>
      <c r="X25" s="16">
        <v>67.991318749999991</v>
      </c>
      <c r="Y25" s="16">
        <v>25.936146874999999</v>
      </c>
      <c r="Z25" s="16">
        <v>32.464821874999991</v>
      </c>
      <c r="AA25" s="16">
        <v>31.66717812500001</v>
      </c>
      <c r="AB25" s="17">
        <v>1530.49</v>
      </c>
      <c r="AC25" s="17">
        <v>6001.17</v>
      </c>
      <c r="AD25" s="17">
        <v>12.875999999999999</v>
      </c>
      <c r="AE25" s="17">
        <v>8.2479999999999993</v>
      </c>
      <c r="AG25" s="12">
        <f t="shared" si="7"/>
        <v>2.3629424999999999</v>
      </c>
      <c r="AH25" s="13">
        <f t="shared" si="8"/>
        <v>9.9574564379651273E-2</v>
      </c>
      <c r="AI25" s="13">
        <f t="shared" si="9"/>
        <v>6.6068783341355755E-2</v>
      </c>
      <c r="AJ25" s="13">
        <f t="shared" si="10"/>
        <v>3.9629260084619367E-2</v>
      </c>
      <c r="AK25" s="13">
        <f t="shared" si="11"/>
        <v>3.3505781038295525E-2</v>
      </c>
      <c r="AL25" s="10">
        <f t="shared" si="12"/>
        <v>1672360</v>
      </c>
      <c r="AM25" s="13">
        <f t="shared" si="13"/>
        <v>0.10760336238521202</v>
      </c>
      <c r="AN25" s="14">
        <v>23423729</v>
      </c>
      <c r="AO25" s="14">
        <v>731991.53125</v>
      </c>
      <c r="AP25" s="14">
        <v>14345.71875</v>
      </c>
      <c r="AQ25" s="15">
        <v>2520472</v>
      </c>
      <c r="AR25" s="15">
        <v>1003112</v>
      </c>
      <c r="AS25" s="15">
        <v>669248</v>
      </c>
      <c r="AT25" s="15">
        <v>848112</v>
      </c>
      <c r="AU25" s="16">
        <v>65.986987499999998</v>
      </c>
      <c r="AV25" s="16">
        <v>67.363793749999999</v>
      </c>
      <c r="AW25" s="16">
        <v>25.832165624999998</v>
      </c>
      <c r="AX25" s="16">
        <v>32.413421874999997</v>
      </c>
      <c r="AY25" s="16">
        <v>31.572056249999999</v>
      </c>
      <c r="AZ25" s="17">
        <v>1243.1500000000001</v>
      </c>
      <c r="BA25" s="17">
        <v>6079.56</v>
      </c>
      <c r="BB25" s="17">
        <v>7.6539999999999999</v>
      </c>
      <c r="BC25" s="17">
        <v>29.228999999999999</v>
      </c>
      <c r="BE25" s="18">
        <f t="shared" si="14"/>
        <v>1.1691031721175786</v>
      </c>
      <c r="BF25" s="19">
        <f t="shared" si="15"/>
        <v>0</v>
      </c>
      <c r="BG25" s="19">
        <f t="shared" si="16"/>
        <v>1.6761606160847431E-2</v>
      </c>
      <c r="BH25" s="19">
        <f t="array" ref="BH25">AVERAGE(AL25:AL29/AQ25:AQ29) - AVERAGE(N25:N29/S25:S29)</f>
        <v>2.5980906538184745E-2</v>
      </c>
      <c r="BJ25" s="18">
        <f>IF( OR(ISBLANK(N25:N29),ISBLANK(AL25:AL29), ISBLANK(W25:W29),ISBLANK(AU25:AU29)), "·", bdRateExtend( N25:N29,W25:W29, AL25:AL29,AU25:AU29))</f>
        <v>0.17621086377482809</v>
      </c>
      <c r="BK25" s="18">
        <f>IF( OR(ISBLANK(N25:N29),ISBLANK(AL25:AL29), ISBLANK(X25:X29),ISBLANK(AV25:AV29)), "·", bdRateExtend( N25:N29,X25:X29, AL25:AL29,AV25:AV29))</f>
        <v>0.18784591534105655</v>
      </c>
      <c r="BL25" s="18">
        <f>IF( OR(ISBLANK(V25:V29),ISBLANK(AT25:AT29), ISBLANK(Y25:Y29),ISBLANK(AW25:AW29)), "·", bdRateExtend( V25:V29,Y25:Y29, AT25:AT29,AW25:AW29))</f>
        <v>-6.8047316289295834E-3</v>
      </c>
      <c r="BM25" s="18">
        <f>IF( OR(ISBLANK(V25:V29),ISBLANK(AT25:AT29), ISBLANK(Z25:Z29),ISBLANK(AX25:AX29)), "·", bdRateExtend( V25:V29,Z25:Z29, AT25:AT29,AX25:AX29))</f>
        <v>1.4938408031481831E-2</v>
      </c>
      <c r="BN25" s="18">
        <f>IF( OR(ISBLANK(V25:V29),ISBLANK(AT25:AT29), ISBLANK(AA25:AA29),ISBLANK(AY25:AY29)), "·", bdRateExtend( V25:V29,AA25:AA29, AT25:AT29,AY25:AY29))</f>
        <v>2.8068423406767407E-2</v>
      </c>
      <c r="BP25" s="18">
        <f>IF( OR(ISBLANK(S25:S29),ISBLANK(AQ25:AQ29), ISBLANK(W25:W29),ISBLANK(AU25:AU29)), "·", bdRateExtend( S25:S29,W25:W29, AQ25:AQ29,AU25:AU29))</f>
        <v>0.13849252606401063</v>
      </c>
      <c r="BQ25" s="18">
        <f>IF( OR(ISBLANK(S25:S29),ISBLANK(AQ25:AQ29), ISBLANK(X25:X29),ISBLANK(AV25:AV29)), "·", bdRateExtend( S25:S29,X25:X29, AQ25:AQ29,AV25:AV29))</f>
        <v>0.14881213232843238</v>
      </c>
      <c r="BR25" s="18">
        <f>IF( OR(ISBLANK(S25:S29),ISBLANK(AQ25:AQ29), ISBLANK(Y25:Y29),ISBLANK(AW25:AW29)), "·", bdRateExtend( S25:S29,Y25:Y29, AQ25:AQ29,AW25:AW29))</f>
        <v>3.4397021987635057E-2</v>
      </c>
      <c r="BS25" s="18">
        <f>IF( OR(ISBLANK(S25:S29),ISBLANK(AQ25:AQ29), ISBLANK(Z25:Z29),ISBLANK(AX25:AX29)), "·", bdRateExtend( S25:S29,Z25:Z29, AQ25:AQ29,AX25:AX29))</f>
        <v>5.3574115811033662E-2</v>
      </c>
      <c r="BT25" s="18">
        <f>IF( OR(ISBLANK(S25:S29),ISBLANK(AQ25:AQ29), ISBLANK(AA25:AA29),ISBLANK(AY25:AY29)), "·", bdRateExtend( S25:S29,AA25:AA29, AQ25:AQ29,AY25:AY29))</f>
        <v>6.4007350934273122E-2</v>
      </c>
      <c r="BV25">
        <f t="shared" si="17"/>
        <v>0</v>
      </c>
      <c r="BW25">
        <f t="shared" si="18"/>
        <v>0</v>
      </c>
      <c r="BX25">
        <f t="shared" si="19"/>
        <v>0</v>
      </c>
      <c r="BY25">
        <f t="shared" si="20"/>
        <v>308696</v>
      </c>
      <c r="BZ25">
        <f t="shared" si="21"/>
        <v>125704</v>
      </c>
      <c r="CA25">
        <f t="shared" si="22"/>
        <v>116192</v>
      </c>
      <c r="CB25">
        <f t="shared" si="23"/>
        <v>66800</v>
      </c>
      <c r="CC25">
        <f t="shared" si="24"/>
        <v>-0.26241562500000271</v>
      </c>
      <c r="CD25">
        <f t="shared" si="25"/>
        <v>-0.62752499999999145</v>
      </c>
      <c r="CE25">
        <f t="shared" si="26"/>
        <v>-0.10398125000000036</v>
      </c>
      <c r="CF25">
        <f t="shared" si="27"/>
        <v>-5.1399999999993895E-2</v>
      </c>
      <c r="CG25">
        <f t="shared" si="28"/>
        <v>-9.5121875000010903E-2</v>
      </c>
      <c r="CJ25" t="s">
        <v>587</v>
      </c>
    </row>
    <row r="26" spans="1:88" outlineLevel="1" x14ac:dyDescent="0.25">
      <c r="A26" s="20"/>
      <c r="B26" s="20" t="s">
        <v>73</v>
      </c>
      <c r="C26" s="21" t="s">
        <v>240</v>
      </c>
      <c r="D26" s="20">
        <v>25312408</v>
      </c>
      <c r="E26" s="21">
        <v>10</v>
      </c>
      <c r="F26" s="21">
        <v>32</v>
      </c>
      <c r="G26" s="21">
        <v>30</v>
      </c>
      <c r="I26" s="22">
        <f t="shared" si="0"/>
        <v>3.2316224999999998</v>
      </c>
      <c r="J26" s="23">
        <f t="shared" si="1"/>
        <v>0.13618080113120806</v>
      </c>
      <c r="K26" s="23">
        <f t="shared" si="2"/>
        <v>7.1090826285669859E-2</v>
      </c>
      <c r="L26" s="23">
        <f t="shared" si="3"/>
        <v>4.9241620947323539E-2</v>
      </c>
      <c r="M26" s="23">
        <f t="shared" si="4"/>
        <v>6.5089974845538204E-2</v>
      </c>
      <c r="N26" s="20">
        <f t="shared" si="5"/>
        <v>1799480</v>
      </c>
      <c r="O26" s="23">
        <f t="shared" si="6"/>
        <v>0.13988383891589481</v>
      </c>
      <c r="P26" s="24">
        <v>24642332</v>
      </c>
      <c r="Q26" s="24">
        <v>770072.875</v>
      </c>
      <c r="R26" s="24">
        <v>17551.15625</v>
      </c>
      <c r="S26" s="25">
        <v>3447064</v>
      </c>
      <c r="T26" s="25">
        <v>1246424</v>
      </c>
      <c r="U26" s="25">
        <v>553056</v>
      </c>
      <c r="V26" s="25">
        <v>1647584</v>
      </c>
      <c r="W26" s="26">
        <v>68.004034375000003</v>
      </c>
      <c r="X26" s="26">
        <v>70.00245624999998</v>
      </c>
      <c r="Y26" s="26">
        <v>27.948218750000009</v>
      </c>
      <c r="Z26" s="26">
        <v>33.668771874999997</v>
      </c>
      <c r="AA26" s="26">
        <v>33.053865625</v>
      </c>
      <c r="AB26" s="27">
        <v>1528.01</v>
      </c>
      <c r="AC26" s="27">
        <v>6430.36</v>
      </c>
      <c r="AD26" s="27">
        <v>13.304</v>
      </c>
      <c r="AE26" s="27">
        <v>10.752000000000001</v>
      </c>
      <c r="AG26" s="22">
        <f t="shared" si="7"/>
        <v>3.5764200000000002</v>
      </c>
      <c r="AH26" s="23">
        <f t="shared" si="8"/>
        <v>0.15071059221232527</v>
      </c>
      <c r="AI26" s="23">
        <f t="shared" si="9"/>
        <v>8.1546726016742455E-2</v>
      </c>
      <c r="AJ26" s="23">
        <f t="shared" si="10"/>
        <v>5.510720276000608E-2</v>
      </c>
      <c r="AK26" s="23">
        <f t="shared" si="11"/>
        <v>6.9163866195582818E-2</v>
      </c>
      <c r="AL26" s="20">
        <f t="shared" si="12"/>
        <v>2064144</v>
      </c>
      <c r="AM26" s="23">
        <f t="shared" si="13"/>
        <v>0.15480872508332411</v>
      </c>
      <c r="AN26" s="24">
        <v>24642332</v>
      </c>
      <c r="AO26" s="24">
        <v>770072.875</v>
      </c>
      <c r="AP26" s="24">
        <v>17551.15625</v>
      </c>
      <c r="AQ26" s="25">
        <v>3814848</v>
      </c>
      <c r="AR26" s="25">
        <v>1394896</v>
      </c>
      <c r="AS26" s="25">
        <v>669248</v>
      </c>
      <c r="AT26" s="25">
        <v>1750704</v>
      </c>
      <c r="AU26" s="26">
        <v>67.789115624999894</v>
      </c>
      <c r="AV26" s="26">
        <v>69.591962499999994</v>
      </c>
      <c r="AW26" s="26">
        <v>27.837359374999899</v>
      </c>
      <c r="AX26" s="26">
        <v>33.610212499999903</v>
      </c>
      <c r="AY26" s="26">
        <v>32.962734374999897</v>
      </c>
      <c r="AZ26" s="27">
        <v>1226.92</v>
      </c>
      <c r="BA26" s="27">
        <v>6565.18</v>
      </c>
      <c r="BB26" s="27">
        <v>7.718</v>
      </c>
      <c r="BC26" s="27">
        <v>29.295000000000002</v>
      </c>
      <c r="BE26" s="28">
        <f t="shared" si="14"/>
        <v>1.1470780447684885</v>
      </c>
      <c r="BF26" s="29">
        <f t="shared" si="15"/>
        <v>0</v>
      </c>
      <c r="BG26" s="29">
        <f t="shared" si="16"/>
        <v>1.9048921218533077E-2</v>
      </c>
      <c r="BH26" s="29"/>
      <c r="BJ26" s="28"/>
      <c r="BK26" s="28"/>
      <c r="BL26" s="28"/>
      <c r="BM26" s="28"/>
      <c r="BN26" s="28"/>
      <c r="BP26" s="28"/>
      <c r="BQ26" s="28"/>
      <c r="BR26" s="28"/>
      <c r="BS26" s="28"/>
      <c r="BT26" s="28"/>
      <c r="BV26">
        <f t="shared" si="17"/>
        <v>0</v>
      </c>
      <c r="BW26">
        <f t="shared" si="18"/>
        <v>0</v>
      </c>
      <c r="BX26">
        <f t="shared" si="19"/>
        <v>0</v>
      </c>
      <c r="BY26">
        <f t="shared" si="20"/>
        <v>367784</v>
      </c>
      <c r="BZ26">
        <f t="shared" si="21"/>
        <v>148472</v>
      </c>
      <c r="CA26">
        <f t="shared" si="22"/>
        <v>116192</v>
      </c>
      <c r="CB26">
        <f t="shared" si="23"/>
        <v>103120</v>
      </c>
      <c r="CC26">
        <f t="shared" si="24"/>
        <v>-0.21491875000010907</v>
      </c>
      <c r="CD26">
        <f t="shared" si="25"/>
        <v>-0.41049374999998633</v>
      </c>
      <c r="CE26">
        <f t="shared" si="26"/>
        <v>-0.11085937500011056</v>
      </c>
      <c r="CF26">
        <f t="shared" si="27"/>
        <v>-5.8559375000093894E-2</v>
      </c>
      <c r="CG26">
        <f t="shared" si="28"/>
        <v>-9.1131250000103137E-2</v>
      </c>
      <c r="CJ26" t="s">
        <v>587</v>
      </c>
    </row>
    <row r="27" spans="1:88" outlineLevel="1" x14ac:dyDescent="0.25">
      <c r="A27" s="10"/>
      <c r="B27" s="10" t="s">
        <v>73</v>
      </c>
      <c r="C27" s="11" t="s">
        <v>241</v>
      </c>
      <c r="D27" s="10">
        <v>25312408</v>
      </c>
      <c r="E27" s="11">
        <v>10</v>
      </c>
      <c r="F27" s="11">
        <v>32</v>
      </c>
      <c r="G27" s="11">
        <v>30</v>
      </c>
      <c r="I27" s="12">
        <f t="shared" si="0"/>
        <v>5.5973775000000003</v>
      </c>
      <c r="J27" s="13">
        <f t="shared" si="1"/>
        <v>0.23587388446014301</v>
      </c>
      <c r="K27" s="13">
        <f t="shared" si="2"/>
        <v>9.2478913898669773E-2</v>
      </c>
      <c r="L27" s="13">
        <f t="shared" si="3"/>
        <v>7.0629708560323454E-2</v>
      </c>
      <c r="M27" s="13">
        <f t="shared" si="4"/>
        <v>0.14339497056147324</v>
      </c>
      <c r="N27" s="10">
        <f t="shared" si="5"/>
        <v>2340864</v>
      </c>
      <c r="O27" s="13">
        <f t="shared" si="6"/>
        <v>0.24001762061621745</v>
      </c>
      <c r="P27" s="14">
        <v>24875407</v>
      </c>
      <c r="Q27" s="14">
        <v>777356.46875</v>
      </c>
      <c r="R27" s="14">
        <v>18390.125</v>
      </c>
      <c r="S27" s="15">
        <v>5970536</v>
      </c>
      <c r="T27" s="15">
        <v>1787808</v>
      </c>
      <c r="U27" s="15">
        <v>553056</v>
      </c>
      <c r="V27" s="15">
        <v>3629672</v>
      </c>
      <c r="W27" s="16">
        <v>69.303674999999998</v>
      </c>
      <c r="X27" s="16">
        <v>71.673321874999985</v>
      </c>
      <c r="Y27" s="16">
        <v>30.188231250000001</v>
      </c>
      <c r="Z27" s="16">
        <v>34.922815624999998</v>
      </c>
      <c r="AA27" s="16">
        <v>34.362718750000013</v>
      </c>
      <c r="AB27" s="17">
        <v>1548.9</v>
      </c>
      <c r="AC27" s="17">
        <v>6437.04</v>
      </c>
      <c r="AD27" s="17">
        <v>13.172000000000001</v>
      </c>
      <c r="AE27" s="17">
        <v>11.916</v>
      </c>
      <c r="AG27" s="12">
        <f t="shared" si="7"/>
        <v>5.9141624999999998</v>
      </c>
      <c r="AH27" s="13">
        <f t="shared" si="8"/>
        <v>0.24922322680639472</v>
      </c>
      <c r="AI27" s="13">
        <f t="shared" si="9"/>
        <v>0.10384345890758398</v>
      </c>
      <c r="AJ27" s="13">
        <f t="shared" si="10"/>
        <v>7.7403935650847605E-2</v>
      </c>
      <c r="AK27" s="13">
        <f t="shared" si="11"/>
        <v>0.14537976789881074</v>
      </c>
      <c r="AL27" s="10">
        <f t="shared" si="12"/>
        <v>2628528</v>
      </c>
      <c r="AM27" s="13">
        <f t="shared" si="13"/>
        <v>0.25360147876173444</v>
      </c>
      <c r="AN27" s="14">
        <v>24875407</v>
      </c>
      <c r="AO27" s="14">
        <v>777356.46875</v>
      </c>
      <c r="AP27" s="14">
        <v>18390.125</v>
      </c>
      <c r="AQ27" s="15">
        <v>6308440</v>
      </c>
      <c r="AR27" s="15">
        <v>1959280</v>
      </c>
      <c r="AS27" s="15">
        <v>669248</v>
      </c>
      <c r="AT27" s="15">
        <v>3679912</v>
      </c>
      <c r="AU27" s="16">
        <v>69.244990625</v>
      </c>
      <c r="AV27" s="16">
        <v>71.491321874999997</v>
      </c>
      <c r="AW27" s="16">
        <v>30.157599999999999</v>
      </c>
      <c r="AX27" s="16">
        <v>34.848378124999897</v>
      </c>
      <c r="AY27" s="16">
        <v>34.283703125000002</v>
      </c>
      <c r="AZ27" s="17">
        <v>1237.46</v>
      </c>
      <c r="BA27" s="17">
        <v>6985.24</v>
      </c>
      <c r="BB27" s="17">
        <v>7.8920000000000003</v>
      </c>
      <c r="BC27" s="17">
        <v>31.454000000000001</v>
      </c>
      <c r="BE27" s="18">
        <f t="shared" si="14"/>
        <v>1.1228879593175853</v>
      </c>
      <c r="BF27" s="19">
        <f t="shared" si="15"/>
        <v>0</v>
      </c>
      <c r="BG27" s="19">
        <f t="shared" si="16"/>
        <v>2.4599141452341933E-2</v>
      </c>
      <c r="BH27" s="19"/>
      <c r="BJ27" s="18"/>
      <c r="BK27" s="18"/>
      <c r="BL27" s="18"/>
      <c r="BM27" s="18"/>
      <c r="BN27" s="18"/>
      <c r="BP27" s="18"/>
      <c r="BQ27" s="18"/>
      <c r="BR27" s="18"/>
      <c r="BS27" s="18"/>
      <c r="BT27" s="18"/>
      <c r="BV27">
        <f t="shared" si="17"/>
        <v>0</v>
      </c>
      <c r="BW27">
        <f t="shared" si="18"/>
        <v>0</v>
      </c>
      <c r="BX27">
        <f t="shared" si="19"/>
        <v>0</v>
      </c>
      <c r="BY27">
        <f t="shared" si="20"/>
        <v>337904</v>
      </c>
      <c r="BZ27">
        <f t="shared" si="21"/>
        <v>171472</v>
      </c>
      <c r="CA27">
        <f t="shared" si="22"/>
        <v>116192</v>
      </c>
      <c r="CB27">
        <f t="shared" si="23"/>
        <v>50240</v>
      </c>
      <c r="CC27">
        <f t="shared" si="24"/>
        <v>-5.8684374999998568E-2</v>
      </c>
      <c r="CD27">
        <f t="shared" si="25"/>
        <v>-0.18199999999998795</v>
      </c>
      <c r="CE27">
        <f t="shared" si="26"/>
        <v>-3.0631250000002552E-2</v>
      </c>
      <c r="CF27">
        <f t="shared" si="27"/>
        <v>-7.4437500000101409E-2</v>
      </c>
      <c r="CG27">
        <f t="shared" si="28"/>
        <v>-7.9015625000010914E-2</v>
      </c>
      <c r="CJ27" t="s">
        <v>587</v>
      </c>
    </row>
    <row r="28" spans="1:88" outlineLevel="1" x14ac:dyDescent="0.25">
      <c r="A28" s="20"/>
      <c r="B28" s="20" t="s">
        <v>73</v>
      </c>
      <c r="C28" s="21" t="s">
        <v>242</v>
      </c>
      <c r="D28" s="20">
        <v>25312408</v>
      </c>
      <c r="E28" s="21">
        <v>10</v>
      </c>
      <c r="F28" s="21">
        <v>32</v>
      </c>
      <c r="G28" s="21">
        <v>30</v>
      </c>
      <c r="I28" s="22">
        <f t="shared" si="0"/>
        <v>11.4904125</v>
      </c>
      <c r="J28" s="23">
        <f t="shared" si="1"/>
        <v>0.48420679691951868</v>
      </c>
      <c r="K28" s="23">
        <f t="shared" si="2"/>
        <v>0.13039201959766136</v>
      </c>
      <c r="L28" s="23">
        <f t="shared" si="3"/>
        <v>0.10854281425931504</v>
      </c>
      <c r="M28" s="23">
        <f t="shared" si="4"/>
        <v>0.35381477732185734</v>
      </c>
      <c r="N28" s="20">
        <f t="shared" si="5"/>
        <v>3300536</v>
      </c>
      <c r="O28" s="23">
        <f t="shared" si="6"/>
        <v>0.47954206003341182</v>
      </c>
      <c r="P28" s="24">
        <v>25558634</v>
      </c>
      <c r="Q28" s="24">
        <v>798707.3125</v>
      </c>
      <c r="R28" s="24">
        <v>20824</v>
      </c>
      <c r="S28" s="25">
        <v>12256440</v>
      </c>
      <c r="T28" s="25">
        <v>2747480</v>
      </c>
      <c r="U28" s="25">
        <v>553056</v>
      </c>
      <c r="V28" s="25">
        <v>8955904</v>
      </c>
      <c r="W28" s="26">
        <v>70.45199375</v>
      </c>
      <c r="X28" s="26">
        <v>72.973940625000026</v>
      </c>
      <c r="Y28" s="26">
        <v>32.655706250000001</v>
      </c>
      <c r="Z28" s="26">
        <v>36.418621875000007</v>
      </c>
      <c r="AA28" s="26">
        <v>35.866646875000001</v>
      </c>
      <c r="AB28" s="27">
        <v>1553.95</v>
      </c>
      <c r="AC28" s="27">
        <v>7034.06</v>
      </c>
      <c r="AD28" s="27">
        <v>13.247999999999999</v>
      </c>
      <c r="AE28" s="27">
        <v>12.284000000000001</v>
      </c>
      <c r="AG28" s="22">
        <f t="shared" si="7"/>
        <v>11.245822499999999</v>
      </c>
      <c r="AH28" s="23">
        <f t="shared" si="8"/>
        <v>0.47389975698874637</v>
      </c>
      <c r="AI28" s="23">
        <f t="shared" si="9"/>
        <v>0.14514431025290048</v>
      </c>
      <c r="AJ28" s="23">
        <f t="shared" si="10"/>
        <v>0.11870478699616409</v>
      </c>
      <c r="AK28" s="23">
        <f t="shared" si="11"/>
        <v>0.32875544673584589</v>
      </c>
      <c r="AL28" s="20">
        <f t="shared" si="12"/>
        <v>3673952</v>
      </c>
      <c r="AM28" s="23">
        <f t="shared" si="13"/>
        <v>0.46933431575412049</v>
      </c>
      <c r="AN28" s="24">
        <v>25558634</v>
      </c>
      <c r="AO28" s="24">
        <v>798707.3125</v>
      </c>
      <c r="AP28" s="24">
        <v>20824</v>
      </c>
      <c r="AQ28" s="25">
        <v>11995544</v>
      </c>
      <c r="AR28" s="25">
        <v>3004704</v>
      </c>
      <c r="AS28" s="25">
        <v>669248</v>
      </c>
      <c r="AT28" s="25">
        <v>8321592</v>
      </c>
      <c r="AU28" s="26">
        <v>70.289574999999999</v>
      </c>
      <c r="AV28" s="26">
        <v>72.730981249999999</v>
      </c>
      <c r="AW28" s="26">
        <v>32.676556249999997</v>
      </c>
      <c r="AX28" s="26">
        <v>36.376549999999902</v>
      </c>
      <c r="AY28" s="26">
        <v>35.8115124999999</v>
      </c>
      <c r="AZ28" s="27">
        <v>1238.8499999999999</v>
      </c>
      <c r="BA28" s="27">
        <v>7541.6</v>
      </c>
      <c r="BB28" s="27">
        <v>7.9740000000000002</v>
      </c>
      <c r="BC28" s="27">
        <v>31.963000000000001</v>
      </c>
      <c r="BE28" s="28">
        <f t="shared" si="14"/>
        <v>1.1131379872844895</v>
      </c>
      <c r="BF28" s="29">
        <f t="shared" si="15"/>
        <v>0</v>
      </c>
      <c r="BG28" s="29">
        <f t="shared" si="16"/>
        <v>3.6986456666907697E-2</v>
      </c>
      <c r="BH28" s="29"/>
      <c r="BJ28" s="28"/>
      <c r="BK28" s="28"/>
      <c r="BL28" s="28"/>
      <c r="BM28" s="28"/>
      <c r="BN28" s="28"/>
      <c r="BP28" s="28"/>
      <c r="BQ28" s="28"/>
      <c r="BR28" s="28"/>
      <c r="BS28" s="28"/>
      <c r="BT28" s="28"/>
      <c r="BV28">
        <f t="shared" si="17"/>
        <v>0</v>
      </c>
      <c r="BW28">
        <f t="shared" si="18"/>
        <v>0</v>
      </c>
      <c r="BX28">
        <f t="shared" si="19"/>
        <v>0</v>
      </c>
      <c r="BY28">
        <f t="shared" si="20"/>
        <v>-260896</v>
      </c>
      <c r="BZ28">
        <f t="shared" si="21"/>
        <v>257224</v>
      </c>
      <c r="CA28">
        <f t="shared" si="22"/>
        <v>116192</v>
      </c>
      <c r="CB28">
        <f t="shared" si="23"/>
        <v>-634312</v>
      </c>
      <c r="CC28">
        <f t="shared" si="24"/>
        <v>-0.1624187500000005</v>
      </c>
      <c r="CD28">
        <f t="shared" si="25"/>
        <v>-0.24295937500002651</v>
      </c>
      <c r="CE28">
        <f t="shared" si="26"/>
        <v>2.0849999999995816E-2</v>
      </c>
      <c r="CF28">
        <f t="shared" si="27"/>
        <v>-4.2071875000104342E-2</v>
      </c>
      <c r="CG28">
        <f t="shared" si="28"/>
        <v>-5.5134375000100988E-2</v>
      </c>
      <c r="CJ28" t="s">
        <v>587</v>
      </c>
    </row>
    <row r="29" spans="1:88" ht="15.75" customHeight="1" outlineLevel="1" thickBot="1" x14ac:dyDescent="0.3">
      <c r="A29" s="30"/>
      <c r="B29" s="30" t="s">
        <v>73</v>
      </c>
      <c r="C29" s="31" t="s">
        <v>243</v>
      </c>
      <c r="D29" s="30">
        <v>25312408</v>
      </c>
      <c r="E29" s="31">
        <v>10</v>
      </c>
      <c r="F29" s="31">
        <v>32</v>
      </c>
      <c r="G29" s="31">
        <v>30</v>
      </c>
      <c r="I29" s="32">
        <f t="shared" si="0"/>
        <v>26.90673</v>
      </c>
      <c r="J29" s="33">
        <f t="shared" si="1"/>
        <v>1.1338515087146193</v>
      </c>
      <c r="K29" s="33">
        <f t="shared" si="2"/>
        <v>0.21400887659522555</v>
      </c>
      <c r="L29" s="33">
        <f t="shared" si="3"/>
        <v>0.17038631804607449</v>
      </c>
      <c r="M29" s="33">
        <f t="shared" si="4"/>
        <v>0.91984263211939377</v>
      </c>
      <c r="N29" s="30">
        <f t="shared" si="5"/>
        <v>5417080</v>
      </c>
      <c r="O29" s="33">
        <f t="shared" si="6"/>
        <v>1.1671120997273399</v>
      </c>
      <c r="P29" s="34">
        <v>24591050</v>
      </c>
      <c r="Q29" s="34">
        <v>768470.3125</v>
      </c>
      <c r="R29" s="34">
        <v>9759.78125</v>
      </c>
      <c r="S29" s="35">
        <v>28700512</v>
      </c>
      <c r="T29" s="35">
        <v>4312888</v>
      </c>
      <c r="U29" s="35">
        <v>1104192</v>
      </c>
      <c r="V29" s="35">
        <v>23283432</v>
      </c>
      <c r="W29" s="36">
        <v>71.142418750000004</v>
      </c>
      <c r="X29" s="36">
        <v>74.868675000000025</v>
      </c>
      <c r="Y29" s="36">
        <v>35.450421875000004</v>
      </c>
      <c r="Z29" s="36">
        <v>38.349690625000001</v>
      </c>
      <c r="AA29" s="36">
        <v>37.73995</v>
      </c>
      <c r="AB29" s="37">
        <v>1547.5</v>
      </c>
      <c r="AC29" s="37">
        <v>7978.15</v>
      </c>
      <c r="AD29" s="37">
        <v>13.42</v>
      </c>
      <c r="AE29" s="37">
        <v>15.22</v>
      </c>
      <c r="AG29" s="32">
        <f t="shared" si="7"/>
        <v>25.353974999999998</v>
      </c>
      <c r="AH29" s="33">
        <f t="shared" si="8"/>
        <v>1.0684183029919556</v>
      </c>
      <c r="AI29" s="33">
        <f t="shared" si="9"/>
        <v>0.23639125918008275</v>
      </c>
      <c r="AJ29" s="33">
        <f t="shared" si="10"/>
        <v>0.18654060885870677</v>
      </c>
      <c r="AK29" s="33">
        <f t="shared" si="11"/>
        <v>0.83202704381187287</v>
      </c>
      <c r="AL29" s="30">
        <f t="shared" si="12"/>
        <v>5983632</v>
      </c>
      <c r="AM29" s="33">
        <f t="shared" si="13"/>
        <v>1.0997594653339324</v>
      </c>
      <c r="AN29" s="34">
        <v>24591050</v>
      </c>
      <c r="AO29" s="34">
        <v>768470.3125</v>
      </c>
      <c r="AP29" s="34">
        <v>9759.78125</v>
      </c>
      <c r="AQ29" s="35">
        <v>27044240</v>
      </c>
      <c r="AR29" s="35">
        <v>4721792</v>
      </c>
      <c r="AS29" s="35">
        <v>1261840</v>
      </c>
      <c r="AT29" s="35">
        <v>21060608</v>
      </c>
      <c r="AU29" s="36">
        <v>71.107478125</v>
      </c>
      <c r="AV29" s="36">
        <v>74.747571874999906</v>
      </c>
      <c r="AW29" s="36">
        <v>35.715125</v>
      </c>
      <c r="AX29" s="36">
        <v>38.304209374999999</v>
      </c>
      <c r="AY29" s="36">
        <v>37.688821875000002</v>
      </c>
      <c r="AZ29" s="37">
        <v>1213.18</v>
      </c>
      <c r="BA29" s="37">
        <v>8445.6200000000008</v>
      </c>
      <c r="BB29" s="37">
        <v>7.7229999999999999</v>
      </c>
      <c r="BC29" s="37">
        <v>33.543999999999997</v>
      </c>
      <c r="BE29" s="38">
        <f t="shared" si="14"/>
        <v>1.1045862346504021</v>
      </c>
      <c r="BF29" s="39">
        <f t="shared" si="15"/>
        <v>0</v>
      </c>
      <c r="BG29" s="39">
        <f t="shared" si="16"/>
        <v>3.2508407192292893E-2</v>
      </c>
      <c r="BH29" s="39"/>
      <c r="BJ29" s="38"/>
      <c r="BK29" s="38"/>
      <c r="BL29" s="38"/>
      <c r="BM29" s="38"/>
      <c r="BN29" s="38"/>
      <c r="BP29" s="38"/>
      <c r="BQ29" s="38"/>
      <c r="BR29" s="38"/>
      <c r="BS29" s="38"/>
      <c r="BT29" s="38"/>
      <c r="BV29">
        <f t="shared" si="17"/>
        <v>0</v>
      </c>
      <c r="BW29">
        <f t="shared" si="18"/>
        <v>0</v>
      </c>
      <c r="BX29">
        <f t="shared" si="19"/>
        <v>0</v>
      </c>
      <c r="BY29">
        <f t="shared" si="20"/>
        <v>-1656272</v>
      </c>
      <c r="BZ29">
        <f t="shared" si="21"/>
        <v>408904</v>
      </c>
      <c r="CA29">
        <f t="shared" si="22"/>
        <v>157648</v>
      </c>
      <c r="CB29">
        <f t="shared" si="23"/>
        <v>-2222824</v>
      </c>
      <c r="CC29">
        <f t="shared" si="24"/>
        <v>-3.4940625000004388E-2</v>
      </c>
      <c r="CD29">
        <f t="shared" si="25"/>
        <v>-0.12110312500011844</v>
      </c>
      <c r="CE29">
        <f t="shared" si="26"/>
        <v>0.26470312499999693</v>
      </c>
      <c r="CF29">
        <f t="shared" si="27"/>
        <v>-4.5481250000001694E-2</v>
      </c>
      <c r="CG29">
        <f t="shared" si="28"/>
        <v>-5.1128124999998192E-2</v>
      </c>
      <c r="CJ29" t="s">
        <v>587</v>
      </c>
    </row>
    <row r="30" spans="1:88" x14ac:dyDescent="0.25">
      <c r="A30" s="20" t="s">
        <v>248</v>
      </c>
      <c r="B30" s="20" t="s">
        <v>77</v>
      </c>
      <c r="C30" s="21" t="s">
        <v>238</v>
      </c>
      <c r="D30" s="20">
        <v>28802925</v>
      </c>
      <c r="E30" s="21">
        <v>11</v>
      </c>
      <c r="F30" s="21">
        <v>10</v>
      </c>
      <c r="G30" s="21">
        <v>30</v>
      </c>
      <c r="I30" s="22">
        <f t="shared" si="0"/>
        <v>3.1914959999999999</v>
      </c>
      <c r="J30" s="23">
        <f t="shared" si="1"/>
        <v>3.6934859914401055E-2</v>
      </c>
      <c r="K30" s="23">
        <f t="shared" si="2"/>
        <v>2.9567274851425681E-2</v>
      </c>
      <c r="L30" s="23">
        <f t="shared" si="3"/>
        <v>1.7862074771919867E-2</v>
      </c>
      <c r="M30" s="23">
        <f t="shared" si="4"/>
        <v>7.3675850629753752E-3</v>
      </c>
      <c r="N30" s="20">
        <f t="shared" si="5"/>
        <v>851624</v>
      </c>
      <c r="O30" s="23">
        <f t="shared" si="6"/>
        <v>3.915617196514197E-2</v>
      </c>
      <c r="P30" s="24">
        <v>27168948</v>
      </c>
      <c r="Q30" s="24">
        <v>2716894.8</v>
      </c>
      <c r="R30" s="24">
        <v>34879.4</v>
      </c>
      <c r="S30" s="25">
        <v>1063832</v>
      </c>
      <c r="T30" s="25">
        <v>514480</v>
      </c>
      <c r="U30" s="25">
        <v>337144</v>
      </c>
      <c r="V30" s="25">
        <v>212208</v>
      </c>
      <c r="W30" s="26">
        <v>73.806030000000007</v>
      </c>
      <c r="X30" s="26">
        <v>75.812089999999998</v>
      </c>
      <c r="Y30" s="26">
        <v>33.888820000000003</v>
      </c>
      <c r="Z30" s="26">
        <v>41.812660000000001</v>
      </c>
      <c r="AA30" s="26">
        <v>43.934510000000003</v>
      </c>
      <c r="AB30" s="27">
        <v>980.452</v>
      </c>
      <c r="AC30" s="27">
        <v>3361.08</v>
      </c>
      <c r="AD30" s="27">
        <v>11.587999999999999</v>
      </c>
      <c r="AE30" s="27">
        <v>5.8760000000000003</v>
      </c>
      <c r="AG30" s="22">
        <f t="shared" si="7"/>
        <v>3.4257599999999999</v>
      </c>
      <c r="AH30" s="23">
        <f t="shared" si="8"/>
        <v>3.9645973455820896E-2</v>
      </c>
      <c r="AI30" s="23">
        <f t="shared" si="9"/>
        <v>3.1372647048867434E-2</v>
      </c>
      <c r="AJ30" s="23">
        <f t="shared" si="10"/>
        <v>1.9729107373643476E-2</v>
      </c>
      <c r="AK30" s="23">
        <f t="shared" si="11"/>
        <v>8.2733264069534598E-3</v>
      </c>
      <c r="AL30" s="20">
        <f t="shared" si="12"/>
        <v>903624</v>
      </c>
      <c r="AM30" s="23">
        <f t="shared" si="13"/>
        <v>4.2030335513910957E-2</v>
      </c>
      <c r="AN30" s="24">
        <v>27168948</v>
      </c>
      <c r="AO30" s="24">
        <v>2716894.8</v>
      </c>
      <c r="AP30" s="24">
        <v>34879.4</v>
      </c>
      <c r="AQ30" s="25">
        <v>1141920</v>
      </c>
      <c r="AR30" s="25">
        <v>568256</v>
      </c>
      <c r="AS30" s="25">
        <v>335368</v>
      </c>
      <c r="AT30" s="25">
        <v>238296</v>
      </c>
      <c r="AU30" s="26">
        <v>73.621859999999998</v>
      </c>
      <c r="AV30" s="26">
        <v>75.265959999999893</v>
      </c>
      <c r="AW30" s="26">
        <v>33.838500000000003</v>
      </c>
      <c r="AX30" s="26">
        <v>41.931089999999998</v>
      </c>
      <c r="AY30" s="26">
        <v>44.033180000000002</v>
      </c>
      <c r="AZ30" s="27">
        <v>948.34</v>
      </c>
      <c r="BA30" s="27">
        <v>5578.66</v>
      </c>
      <c r="BB30" s="27">
        <v>9.5630000000000006</v>
      </c>
      <c r="BC30" s="27">
        <v>33.271000000000001</v>
      </c>
      <c r="BE30" s="28">
        <f t="shared" si="14"/>
        <v>1.0610598104327731</v>
      </c>
      <c r="BF30" s="29">
        <f t="shared" si="15"/>
        <v>0</v>
      </c>
      <c r="BG30" s="29">
        <f t="shared" si="16"/>
        <v>-9.2050126047297232E-3</v>
      </c>
      <c r="BH30" s="29">
        <f t="array" ref="BH30">AVERAGE(AL30:AL34/AQ30:AQ34) - AVERAGE(N30:N34/S30:S34)</f>
        <v>-1.5261691573627001E-3</v>
      </c>
      <c r="BJ30" s="28">
        <f>IF( OR(ISBLANK(N30:N34),ISBLANK(AL30:AL34), ISBLANK(W30:W34),ISBLANK(AU30:AU34)), "·", bdRateExtend( N30:N34,W30:W34, AL30:AL34,AU30:AU34))</f>
        <v>6.1407745865480923E-2</v>
      </c>
      <c r="BK30" s="28">
        <f>IF( OR(ISBLANK(N30:N34),ISBLANK(AL30:AL34), ISBLANK(X30:X34),ISBLANK(AV30:AV34)), "·", bdRateExtend( N30:N34,X30:X34, AL30:AL34,AV30:AV34))</f>
        <v>7.3808532368629498E-2</v>
      </c>
      <c r="BL30" s="28">
        <f>IF( OR(ISBLANK(V30:V34),ISBLANK(AT30:AT34), ISBLANK(Y30:Y34),ISBLANK(AW30:AW34)), "·", bdRateExtend( V30:V34,Y30:Y34, AT30:AT34,AW30:AW34))</f>
        <v>5.9020615527392239E-2</v>
      </c>
      <c r="BM30" s="28">
        <f>IF( OR(ISBLANK(V30:V34),ISBLANK(AT30:AT34), ISBLANK(Z30:Z34),ISBLANK(AX30:AX34)), "·", bdRateExtend( V30:V34,Z30:Z34, AT30:AT34,AX30:AX34))</f>
        <v>5.5574221653149181E-2</v>
      </c>
      <c r="BN30" s="28">
        <f>IF( OR(ISBLANK(V30:V34),ISBLANK(AT30:AT34), ISBLANK(AA30:AA34),ISBLANK(AY30:AY34)), "·", bdRateExtend( V30:V34,AA30:AA34, AT30:AT34,AY30:AY34))</f>
        <v>-2.5763522995921329E-2</v>
      </c>
      <c r="BP30" s="28">
        <f>IF( OR(ISBLANK(S30:S34),ISBLANK(AQ30:AQ34), ISBLANK(W30:W34),ISBLANK(AU30:AU34)), "·", bdRateExtend( S30:S34,W30:W34, AQ30:AQ34,AU30:AU34))</f>
        <v>7.2113310030581301E-2</v>
      </c>
      <c r="BQ30" s="28">
        <f>IF( OR(ISBLANK(S30:S34),ISBLANK(AQ30:AQ34), ISBLANK(X30:X34),ISBLANK(AV30:AV34)), "·", bdRateExtend( S30:S34,X30:X34, AQ30:AQ34,AV30:AV34))</f>
        <v>8.8895712436719565E-2</v>
      </c>
      <c r="BR30" s="28">
        <f>IF( OR(ISBLANK(S30:S34),ISBLANK(AQ30:AQ34), ISBLANK(Y30:Y34),ISBLANK(AW30:AW34)), "·", bdRateExtend( S30:S34,Y30:Y34, AQ30:AQ34,AW30:AW34))</f>
        <v>4.5232545873330032E-2</v>
      </c>
      <c r="BS30" s="28">
        <f>IF( OR(ISBLANK(S30:S34),ISBLANK(AQ30:AQ34), ISBLANK(Z30:Z34),ISBLANK(AX30:AX34)), "·", bdRateExtend( S30:S34,Z30:Z34, AQ30:AQ34,AX30:AX34))</f>
        <v>4.917409331448841E-2</v>
      </c>
      <c r="BT30" s="28">
        <f>IF( OR(ISBLANK(S30:S34),ISBLANK(AQ30:AQ34), ISBLANK(AA30:AA34),ISBLANK(AY30:AY34)), "·", bdRateExtend( S30:S34,AA30:AA34, AQ30:AQ34,AY30:AY34))</f>
        <v>-1.0155886371705503E-3</v>
      </c>
      <c r="BV30">
        <f t="shared" si="17"/>
        <v>0</v>
      </c>
      <c r="BW30">
        <f t="shared" si="18"/>
        <v>0</v>
      </c>
      <c r="BX30">
        <f t="shared" si="19"/>
        <v>0</v>
      </c>
      <c r="BY30">
        <f t="shared" si="20"/>
        <v>78088</v>
      </c>
      <c r="BZ30">
        <f t="shared" si="21"/>
        <v>53776</v>
      </c>
      <c r="CA30">
        <f t="shared" si="22"/>
        <v>-1776</v>
      </c>
      <c r="CB30">
        <f t="shared" si="23"/>
        <v>26088</v>
      </c>
      <c r="CC30">
        <f t="shared" si="24"/>
        <v>-0.18417000000000883</v>
      </c>
      <c r="CD30">
        <f t="shared" si="25"/>
        <v>-0.54613000000010459</v>
      </c>
      <c r="CE30">
        <f t="shared" si="26"/>
        <v>-5.0319999999999254E-2</v>
      </c>
      <c r="CF30">
        <f t="shared" si="27"/>
        <v>0.11842999999999648</v>
      </c>
      <c r="CG30">
        <f t="shared" si="28"/>
        <v>9.8669999999998481E-2</v>
      </c>
      <c r="CJ30" t="s">
        <v>249</v>
      </c>
    </row>
    <row r="31" spans="1:88" outlineLevel="1" x14ac:dyDescent="0.25">
      <c r="A31" s="10"/>
      <c r="B31" s="10" t="s">
        <v>77</v>
      </c>
      <c r="C31" s="11" t="s">
        <v>240</v>
      </c>
      <c r="D31" s="10">
        <v>28802925</v>
      </c>
      <c r="E31" s="11">
        <v>11</v>
      </c>
      <c r="F31" s="11">
        <v>10</v>
      </c>
      <c r="G31" s="11">
        <v>30</v>
      </c>
      <c r="I31" s="12">
        <f t="shared" si="0"/>
        <v>4.3266</v>
      </c>
      <c r="J31" s="13">
        <f t="shared" si="1"/>
        <v>5.0071303522124924E-2</v>
      </c>
      <c r="K31" s="13">
        <f t="shared" si="2"/>
        <v>3.6640723121002465E-2</v>
      </c>
      <c r="L31" s="13">
        <f t="shared" si="3"/>
        <v>2.4935523041496654E-2</v>
      </c>
      <c r="M31" s="13">
        <f t="shared" si="4"/>
        <v>1.3430580401122456E-2</v>
      </c>
      <c r="N31" s="10">
        <f t="shared" si="5"/>
        <v>1055360</v>
      </c>
      <c r="O31" s="13">
        <f t="shared" si="6"/>
        <v>5.0947758305699829E-2</v>
      </c>
      <c r="P31" s="14">
        <v>28307428</v>
      </c>
      <c r="Q31" s="14">
        <v>2830742.8</v>
      </c>
      <c r="R31" s="14">
        <v>41717.4</v>
      </c>
      <c r="S31" s="15">
        <v>1442200</v>
      </c>
      <c r="T31" s="15">
        <v>718216</v>
      </c>
      <c r="U31" s="15">
        <v>337144</v>
      </c>
      <c r="V31" s="15">
        <v>386840</v>
      </c>
      <c r="W31" s="16">
        <v>75.3643</v>
      </c>
      <c r="X31" s="16">
        <v>77.614440000000002</v>
      </c>
      <c r="Y31" s="16">
        <v>35.655179999999987</v>
      </c>
      <c r="Z31" s="16">
        <v>42.256779999999999</v>
      </c>
      <c r="AA31" s="16">
        <v>44.930630000000001</v>
      </c>
      <c r="AB31" s="17">
        <v>982.65600000000006</v>
      </c>
      <c r="AC31" s="17">
        <v>3546.42</v>
      </c>
      <c r="AD31" s="17">
        <v>11.452</v>
      </c>
      <c r="AE31" s="17">
        <v>7.2920000000000007</v>
      </c>
      <c r="AG31" s="12">
        <f t="shared" si="7"/>
        <v>4.5759840000000001</v>
      </c>
      <c r="AH31" s="13">
        <f t="shared" si="8"/>
        <v>5.2957399291912191E-2</v>
      </c>
      <c r="AI31" s="13">
        <f t="shared" si="9"/>
        <v>3.8341661480561437E-2</v>
      </c>
      <c r="AJ31" s="13">
        <f t="shared" si="10"/>
        <v>2.6698121805337479E-2</v>
      </c>
      <c r="AK31" s="13">
        <f t="shared" si="11"/>
        <v>1.4615737811350758E-2</v>
      </c>
      <c r="AL31" s="10">
        <f t="shared" si="12"/>
        <v>1104352</v>
      </c>
      <c r="AM31" s="13">
        <f t="shared" si="13"/>
        <v>5.3884372681262317E-2</v>
      </c>
      <c r="AN31" s="14">
        <v>28307428</v>
      </c>
      <c r="AO31" s="14">
        <v>2830742.8</v>
      </c>
      <c r="AP31" s="14">
        <v>41717.4</v>
      </c>
      <c r="AQ31" s="15">
        <v>1525328</v>
      </c>
      <c r="AR31" s="15">
        <v>768984</v>
      </c>
      <c r="AS31" s="15">
        <v>335368</v>
      </c>
      <c r="AT31" s="15">
        <v>420976</v>
      </c>
      <c r="AU31" s="16">
        <v>75.271529999999998</v>
      </c>
      <c r="AV31" s="16">
        <v>77.33623</v>
      </c>
      <c r="AW31" s="16">
        <v>35.612029999999997</v>
      </c>
      <c r="AX31" s="16">
        <v>42.304780000000001</v>
      </c>
      <c r="AY31" s="16">
        <v>45.367710000000002</v>
      </c>
      <c r="AZ31" s="17">
        <v>942.46799999999996</v>
      </c>
      <c r="BA31" s="17">
        <v>5868.12</v>
      </c>
      <c r="BB31" s="17">
        <v>9.3000000000000007</v>
      </c>
      <c r="BC31" s="17">
        <v>31.666</v>
      </c>
      <c r="BE31" s="18">
        <f t="shared" si="14"/>
        <v>1.0464220739842329</v>
      </c>
      <c r="BF31" s="19">
        <f t="shared" si="15"/>
        <v>0</v>
      </c>
      <c r="BG31" s="19">
        <f t="shared" si="16"/>
        <v>-7.761381052121652E-3</v>
      </c>
      <c r="BH31" s="19"/>
      <c r="BJ31" s="18"/>
      <c r="BK31" s="18"/>
      <c r="BL31" s="18"/>
      <c r="BM31" s="18"/>
      <c r="BN31" s="18"/>
      <c r="BP31" s="18"/>
      <c r="BQ31" s="18"/>
      <c r="BR31" s="18"/>
      <c r="BS31" s="18"/>
      <c r="BT31" s="18"/>
      <c r="BV31">
        <f t="shared" si="17"/>
        <v>0</v>
      </c>
      <c r="BW31">
        <f t="shared" si="18"/>
        <v>0</v>
      </c>
      <c r="BX31">
        <f t="shared" si="19"/>
        <v>0</v>
      </c>
      <c r="BY31">
        <f t="shared" si="20"/>
        <v>83128</v>
      </c>
      <c r="BZ31">
        <f t="shared" si="21"/>
        <v>50768</v>
      </c>
      <c r="CA31">
        <f t="shared" si="22"/>
        <v>-1776</v>
      </c>
      <c r="CB31">
        <f t="shared" si="23"/>
        <v>34136</v>
      </c>
      <c r="CC31">
        <f t="shared" si="24"/>
        <v>-9.2770000000001573E-2</v>
      </c>
      <c r="CD31">
        <f t="shared" si="25"/>
        <v>-0.2782100000000014</v>
      </c>
      <c r="CE31">
        <f t="shared" si="26"/>
        <v>-4.314999999999003E-2</v>
      </c>
      <c r="CF31">
        <f t="shared" si="27"/>
        <v>4.8000000000001819E-2</v>
      </c>
      <c r="CG31">
        <f t="shared" si="28"/>
        <v>0.43708000000000169</v>
      </c>
      <c r="CJ31" t="s">
        <v>249</v>
      </c>
    </row>
    <row r="32" spans="1:88" outlineLevel="1" x14ac:dyDescent="0.25">
      <c r="A32" s="20"/>
      <c r="B32" s="20" t="s">
        <v>77</v>
      </c>
      <c r="C32" s="21" t="s">
        <v>241</v>
      </c>
      <c r="D32" s="20">
        <v>28802925</v>
      </c>
      <c r="E32" s="21">
        <v>11</v>
      </c>
      <c r="F32" s="21">
        <v>10</v>
      </c>
      <c r="G32" s="21">
        <v>30</v>
      </c>
      <c r="I32" s="22">
        <f t="shared" si="0"/>
        <v>6.4312079999999998</v>
      </c>
      <c r="J32" s="23">
        <f t="shared" si="1"/>
        <v>7.4427718712596028E-2</v>
      </c>
      <c r="K32" s="23">
        <f t="shared" si="2"/>
        <v>4.7301029322542765E-2</v>
      </c>
      <c r="L32" s="23">
        <f t="shared" si="3"/>
        <v>3.5595829243036947E-2</v>
      </c>
      <c r="M32" s="23">
        <f t="shared" si="4"/>
        <v>2.7126689390053266E-2</v>
      </c>
      <c r="N32" s="20">
        <f t="shared" si="5"/>
        <v>1362408</v>
      </c>
      <c r="O32" s="23">
        <f t="shared" si="6"/>
        <v>7.5067528826294402E-2</v>
      </c>
      <c r="P32" s="24">
        <v>28557434</v>
      </c>
      <c r="Q32" s="24">
        <v>2855743.4</v>
      </c>
      <c r="R32" s="24">
        <v>44461.5</v>
      </c>
      <c r="S32" s="25">
        <v>2143736</v>
      </c>
      <c r="T32" s="25">
        <v>1025264</v>
      </c>
      <c r="U32" s="25">
        <v>337144</v>
      </c>
      <c r="V32" s="25">
        <v>781328</v>
      </c>
      <c r="W32" s="26">
        <v>76.520080000000007</v>
      </c>
      <c r="X32" s="26">
        <v>79.105730000000008</v>
      </c>
      <c r="Y32" s="26">
        <v>37.173969999999997</v>
      </c>
      <c r="Z32" s="26">
        <v>42.963019999999993</v>
      </c>
      <c r="AA32" s="26">
        <v>46.395600000000002</v>
      </c>
      <c r="AB32" s="27">
        <v>983.74800000000005</v>
      </c>
      <c r="AC32" s="27">
        <v>3770.52</v>
      </c>
      <c r="AD32" s="27">
        <v>11.372</v>
      </c>
      <c r="AE32" s="27">
        <v>7.5839999999999996</v>
      </c>
      <c r="AG32" s="22">
        <f t="shared" si="7"/>
        <v>6.731808</v>
      </c>
      <c r="AH32" s="23">
        <f t="shared" si="8"/>
        <v>7.7906532062281875E-2</v>
      </c>
      <c r="AI32" s="23">
        <f t="shared" si="9"/>
        <v>4.9023909898039869E-2</v>
      </c>
      <c r="AJ32" s="23">
        <f t="shared" si="10"/>
        <v>3.7380370222815915E-2</v>
      </c>
      <c r="AK32" s="23">
        <f t="shared" si="11"/>
        <v>2.8882622164241999E-2</v>
      </c>
      <c r="AL32" s="20">
        <f t="shared" si="12"/>
        <v>1412032</v>
      </c>
      <c r="AM32" s="23">
        <f t="shared" si="13"/>
        <v>7.8576247431754551E-2</v>
      </c>
      <c r="AN32" s="24">
        <v>28557434</v>
      </c>
      <c r="AO32" s="24">
        <v>2855743.4</v>
      </c>
      <c r="AP32" s="24">
        <v>44461.5</v>
      </c>
      <c r="AQ32" s="25">
        <v>2243936</v>
      </c>
      <c r="AR32" s="25">
        <v>1076664</v>
      </c>
      <c r="AS32" s="25">
        <v>335368</v>
      </c>
      <c r="AT32" s="25">
        <v>831904</v>
      </c>
      <c r="AU32" s="26">
        <v>76.486890000000002</v>
      </c>
      <c r="AV32" s="26">
        <v>79.03528</v>
      </c>
      <c r="AW32" s="26">
        <v>37.181489999999997</v>
      </c>
      <c r="AX32" s="26">
        <v>42.913279999999901</v>
      </c>
      <c r="AY32" s="26">
        <v>46.409649999999999</v>
      </c>
      <c r="AZ32" s="27">
        <v>938.35900000000004</v>
      </c>
      <c r="BA32" s="27">
        <v>6205.69</v>
      </c>
      <c r="BB32" s="27">
        <v>9.3040000000000003</v>
      </c>
      <c r="BC32" s="27">
        <v>32.203000000000003</v>
      </c>
      <c r="BE32" s="28">
        <f t="shared" si="14"/>
        <v>1.036423743841786</v>
      </c>
      <c r="BF32" s="29">
        <f t="shared" si="15"/>
        <v>0</v>
      </c>
      <c r="BG32" s="29">
        <f t="shared" si="16"/>
        <v>-6.2640292576136014E-3</v>
      </c>
      <c r="BH32" s="29"/>
      <c r="BJ32" s="28"/>
      <c r="BK32" s="28"/>
      <c r="BL32" s="28"/>
      <c r="BM32" s="28"/>
      <c r="BN32" s="28"/>
      <c r="BP32" s="28"/>
      <c r="BQ32" s="28"/>
      <c r="BR32" s="28"/>
      <c r="BS32" s="28"/>
      <c r="BT32" s="28"/>
      <c r="BV32">
        <f t="shared" si="17"/>
        <v>0</v>
      </c>
      <c r="BW32">
        <f t="shared" si="18"/>
        <v>0</v>
      </c>
      <c r="BX32">
        <f t="shared" si="19"/>
        <v>0</v>
      </c>
      <c r="BY32">
        <f t="shared" si="20"/>
        <v>100200</v>
      </c>
      <c r="BZ32">
        <f t="shared" si="21"/>
        <v>51400</v>
      </c>
      <c r="CA32">
        <f t="shared" si="22"/>
        <v>-1776</v>
      </c>
      <c r="CB32">
        <f t="shared" si="23"/>
        <v>50576</v>
      </c>
      <c r="CC32">
        <f t="shared" si="24"/>
        <v>-3.3190000000004716E-2</v>
      </c>
      <c r="CD32">
        <f t="shared" si="25"/>
        <v>-7.0450000000008117E-2</v>
      </c>
      <c r="CE32">
        <f t="shared" si="26"/>
        <v>7.5199999999995271E-3</v>
      </c>
      <c r="CF32">
        <f t="shared" si="27"/>
        <v>-4.9740000000092266E-2</v>
      </c>
      <c r="CG32">
        <f t="shared" si="28"/>
        <v>1.4049999999997453E-2</v>
      </c>
      <c r="CJ32" t="s">
        <v>249</v>
      </c>
    </row>
    <row r="33" spans="1:88" outlineLevel="1" x14ac:dyDescent="0.25">
      <c r="A33" s="10"/>
      <c r="B33" s="10" t="s">
        <v>77</v>
      </c>
      <c r="C33" s="11" t="s">
        <v>242</v>
      </c>
      <c r="D33" s="10">
        <v>28802925</v>
      </c>
      <c r="E33" s="11">
        <v>11</v>
      </c>
      <c r="F33" s="11">
        <v>10</v>
      </c>
      <c r="G33" s="11">
        <v>30</v>
      </c>
      <c r="I33" s="12">
        <f t="shared" si="0"/>
        <v>11.399784</v>
      </c>
      <c r="J33" s="13">
        <f t="shared" si="1"/>
        <v>0.13192854545154703</v>
      </c>
      <c r="K33" s="13">
        <f t="shared" si="2"/>
        <v>6.8446381747687079E-2</v>
      </c>
      <c r="L33" s="13">
        <f t="shared" si="3"/>
        <v>5.6741181668181269E-2</v>
      </c>
      <c r="M33" s="13">
        <f t="shared" si="4"/>
        <v>6.3482163703859937E-2</v>
      </c>
      <c r="N33" s="10">
        <f t="shared" si="5"/>
        <v>1971456</v>
      </c>
      <c r="O33" s="13">
        <f t="shared" si="6"/>
        <v>0.12996756119219588</v>
      </c>
      <c r="P33" s="14">
        <v>29237511</v>
      </c>
      <c r="Q33" s="14">
        <v>2923751.1</v>
      </c>
      <c r="R33" s="14">
        <v>49346.2</v>
      </c>
      <c r="S33" s="15">
        <v>3799928</v>
      </c>
      <c r="T33" s="15">
        <v>1634312</v>
      </c>
      <c r="U33" s="15">
        <v>337144</v>
      </c>
      <c r="V33" s="15">
        <v>1828472</v>
      </c>
      <c r="W33" s="16">
        <v>77.601410000000001</v>
      </c>
      <c r="X33" s="16">
        <v>80.289709999999999</v>
      </c>
      <c r="Y33" s="16">
        <v>38.746950000000012</v>
      </c>
      <c r="Z33" s="16">
        <v>43.534860000000002</v>
      </c>
      <c r="AA33" s="16">
        <v>47.728660000000012</v>
      </c>
      <c r="AB33" s="17">
        <v>979.88800000000003</v>
      </c>
      <c r="AC33" s="17">
        <v>4072.92</v>
      </c>
      <c r="AD33" s="17">
        <v>11.484</v>
      </c>
      <c r="AE33" s="17">
        <v>8.3320000000000007</v>
      </c>
      <c r="AG33" s="12">
        <f t="shared" si="7"/>
        <v>11.692968</v>
      </c>
      <c r="AH33" s="13">
        <f t="shared" si="8"/>
        <v>0.13532153418446216</v>
      </c>
      <c r="AI33" s="13">
        <f t="shared" si="9"/>
        <v>7.1288315336029237E-2</v>
      </c>
      <c r="AJ33" s="13">
        <f t="shared" si="10"/>
        <v>5.9644775660805283E-2</v>
      </c>
      <c r="AK33" s="13">
        <f t="shared" si="11"/>
        <v>6.4033218848432924E-2</v>
      </c>
      <c r="AL33" s="10">
        <f t="shared" si="12"/>
        <v>2053312</v>
      </c>
      <c r="AM33" s="13">
        <f t="shared" si="13"/>
        <v>0.13331011658276931</v>
      </c>
      <c r="AN33" s="14">
        <v>29237511</v>
      </c>
      <c r="AO33" s="14">
        <v>2923751.1</v>
      </c>
      <c r="AP33" s="14">
        <v>49346.2</v>
      </c>
      <c r="AQ33" s="15">
        <v>3897656</v>
      </c>
      <c r="AR33" s="15">
        <v>1717944</v>
      </c>
      <c r="AS33" s="15">
        <v>335368</v>
      </c>
      <c r="AT33" s="15">
        <v>1844344</v>
      </c>
      <c r="AU33" s="16">
        <v>77.547099999999901</v>
      </c>
      <c r="AV33" s="16">
        <v>80.207650000000001</v>
      </c>
      <c r="AW33" s="16">
        <v>38.747709999999998</v>
      </c>
      <c r="AX33" s="16">
        <v>43.505939999999903</v>
      </c>
      <c r="AY33" s="16">
        <v>47.745009999999901</v>
      </c>
      <c r="AZ33" s="17">
        <v>938.12099999999998</v>
      </c>
      <c r="BA33" s="17">
        <v>6616.64</v>
      </c>
      <c r="BB33" s="17">
        <v>9.4570000000000007</v>
      </c>
      <c r="BC33" s="17">
        <v>33.664000000000001</v>
      </c>
      <c r="BE33" s="18">
        <f t="shared" si="14"/>
        <v>1.041520581742631</v>
      </c>
      <c r="BF33" s="19">
        <f t="shared" si="15"/>
        <v>0</v>
      </c>
      <c r="BG33" s="19">
        <f t="shared" si="16"/>
        <v>7.9928401664314253E-3</v>
      </c>
      <c r="BH33" s="19"/>
      <c r="BJ33" s="18"/>
      <c r="BK33" s="18"/>
      <c r="BL33" s="18"/>
      <c r="BM33" s="18"/>
      <c r="BN33" s="18"/>
      <c r="BP33" s="18"/>
      <c r="BQ33" s="18"/>
      <c r="BR33" s="18"/>
      <c r="BS33" s="18"/>
      <c r="BT33" s="18"/>
      <c r="BV33">
        <f t="shared" si="17"/>
        <v>0</v>
      </c>
      <c r="BW33">
        <f t="shared" si="18"/>
        <v>0</v>
      </c>
      <c r="BX33">
        <f t="shared" si="19"/>
        <v>0</v>
      </c>
      <c r="BY33">
        <f t="shared" si="20"/>
        <v>97728</v>
      </c>
      <c r="BZ33">
        <f t="shared" si="21"/>
        <v>83632</v>
      </c>
      <c r="CA33">
        <f t="shared" si="22"/>
        <v>-1776</v>
      </c>
      <c r="CB33">
        <f t="shared" si="23"/>
        <v>15872</v>
      </c>
      <c r="CC33">
        <f t="shared" si="24"/>
        <v>-5.4310000000100445E-2</v>
      </c>
      <c r="CD33">
        <f t="shared" si="25"/>
        <v>-8.2059999999998468E-2</v>
      </c>
      <c r="CE33">
        <f t="shared" si="26"/>
        <v>7.5999999998543899E-4</v>
      </c>
      <c r="CF33">
        <f t="shared" si="27"/>
        <v>-2.8920000000098867E-2</v>
      </c>
      <c r="CG33">
        <f t="shared" si="28"/>
        <v>1.6349999999889064E-2</v>
      </c>
      <c r="CJ33" t="s">
        <v>249</v>
      </c>
    </row>
    <row r="34" spans="1:88" ht="15.75" customHeight="1" outlineLevel="1" thickBot="1" x14ac:dyDescent="0.3">
      <c r="A34" s="20"/>
      <c r="B34" s="40" t="s">
        <v>77</v>
      </c>
      <c r="C34" s="41" t="s">
        <v>243</v>
      </c>
      <c r="D34" s="40">
        <v>28802925</v>
      </c>
      <c r="E34" s="41">
        <v>11</v>
      </c>
      <c r="F34" s="41">
        <v>10</v>
      </c>
      <c r="G34" s="41">
        <v>30</v>
      </c>
      <c r="I34" s="42">
        <f t="shared" si="0"/>
        <v>24.23592</v>
      </c>
      <c r="J34" s="43">
        <f t="shared" si="1"/>
        <v>0.28047984709886237</v>
      </c>
      <c r="K34" s="43">
        <f t="shared" si="2"/>
        <v>0.11593044803609355</v>
      </c>
      <c r="L34" s="43">
        <f t="shared" si="3"/>
        <v>9.162986050895873E-2</v>
      </c>
      <c r="M34" s="43">
        <f t="shared" si="4"/>
        <v>0.1645493990627688</v>
      </c>
      <c r="N34" s="40">
        <f t="shared" si="5"/>
        <v>3339136</v>
      </c>
      <c r="O34" s="43">
        <f t="shared" si="6"/>
        <v>0.28232280632498363</v>
      </c>
      <c r="P34" s="44">
        <v>28614904</v>
      </c>
      <c r="Q34" s="44">
        <v>2861490.4</v>
      </c>
      <c r="R34" s="44">
        <v>21253.8</v>
      </c>
      <c r="S34" s="45">
        <v>8078640</v>
      </c>
      <c r="T34" s="45">
        <v>2639208</v>
      </c>
      <c r="U34" s="45">
        <v>699928</v>
      </c>
      <c r="V34" s="45">
        <v>4739504</v>
      </c>
      <c r="W34" s="46">
        <v>78.512380000000022</v>
      </c>
      <c r="X34" s="46">
        <v>81.884179999999986</v>
      </c>
      <c r="Y34" s="46">
        <v>40.403440000000003</v>
      </c>
      <c r="Z34" s="46">
        <v>44.120649999999998</v>
      </c>
      <c r="AA34" s="46">
        <v>48.929180000000002</v>
      </c>
      <c r="AB34" s="47">
        <v>1015.08</v>
      </c>
      <c r="AC34" s="47">
        <v>5109.22</v>
      </c>
      <c r="AD34" s="47">
        <v>11.272</v>
      </c>
      <c r="AE34" s="47">
        <v>9.8000000000000007</v>
      </c>
      <c r="AG34" s="42">
        <f t="shared" si="7"/>
        <v>24.675768000000001</v>
      </c>
      <c r="AH34" s="43">
        <f t="shared" si="8"/>
        <v>0.28557016344694158</v>
      </c>
      <c r="AI34" s="43">
        <f t="shared" si="9"/>
        <v>0.12020668039791098</v>
      </c>
      <c r="AJ34" s="43">
        <f t="shared" si="10"/>
        <v>9.5739998628611503E-2</v>
      </c>
      <c r="AK34" s="43">
        <f t="shared" si="11"/>
        <v>0.16536348304903062</v>
      </c>
      <c r="AL34" s="40">
        <f t="shared" si="12"/>
        <v>3462304</v>
      </c>
      <c r="AM34" s="43">
        <f t="shared" si="13"/>
        <v>0.28744656980152722</v>
      </c>
      <c r="AN34" s="44">
        <v>28614904</v>
      </c>
      <c r="AO34" s="44">
        <v>2861490.4</v>
      </c>
      <c r="AP34" s="44">
        <v>21253.8</v>
      </c>
      <c r="AQ34" s="45">
        <v>8225256</v>
      </c>
      <c r="AR34" s="45">
        <v>2757592</v>
      </c>
      <c r="AS34" s="45">
        <v>704712</v>
      </c>
      <c r="AT34" s="45">
        <v>4762952</v>
      </c>
      <c r="AU34" s="46">
        <v>78.493489999999994</v>
      </c>
      <c r="AV34" s="46">
        <v>81.838740000000001</v>
      </c>
      <c r="AW34" s="46">
        <v>40.431439999999903</v>
      </c>
      <c r="AX34" s="46">
        <v>44.124319999999997</v>
      </c>
      <c r="AY34" s="46">
        <v>48.971719999999898</v>
      </c>
      <c r="AZ34" s="47">
        <v>936.91200000000003</v>
      </c>
      <c r="BA34" s="47">
        <v>7232.68</v>
      </c>
      <c r="BB34" s="47">
        <v>9.2260000000000009</v>
      </c>
      <c r="BC34" s="47">
        <v>35.398000000000003</v>
      </c>
      <c r="BE34" s="48">
        <f t="shared" si="14"/>
        <v>1.0368861885230192</v>
      </c>
      <c r="BF34" s="49">
        <f t="shared" si="15"/>
        <v>0</v>
      </c>
      <c r="BG34" s="49">
        <f t="shared" si="16"/>
        <v>7.6067369612197178E-3</v>
      </c>
      <c r="BH34" s="49"/>
      <c r="BJ34" s="48"/>
      <c r="BK34" s="48"/>
      <c r="BL34" s="48"/>
      <c r="BM34" s="48"/>
      <c r="BN34" s="48"/>
      <c r="BP34" s="48"/>
      <c r="BQ34" s="48"/>
      <c r="BR34" s="48"/>
      <c r="BS34" s="48"/>
      <c r="BT34" s="48"/>
      <c r="BV34">
        <f t="shared" si="17"/>
        <v>0</v>
      </c>
      <c r="BW34">
        <f t="shared" si="18"/>
        <v>0</v>
      </c>
      <c r="BX34">
        <f t="shared" si="19"/>
        <v>0</v>
      </c>
      <c r="BY34">
        <f t="shared" si="20"/>
        <v>146616</v>
      </c>
      <c r="BZ34">
        <f t="shared" si="21"/>
        <v>118384</v>
      </c>
      <c r="CA34">
        <f t="shared" si="22"/>
        <v>4784</v>
      </c>
      <c r="CB34">
        <f t="shared" si="23"/>
        <v>23448</v>
      </c>
      <c r="CC34">
        <f t="shared" si="24"/>
        <v>-1.8890000000027385E-2</v>
      </c>
      <c r="CD34">
        <f t="shared" si="25"/>
        <v>-4.5439999999985048E-2</v>
      </c>
      <c r="CE34">
        <f t="shared" si="26"/>
        <v>2.7999999999899217E-2</v>
      </c>
      <c r="CF34">
        <f t="shared" si="27"/>
        <v>3.669999999999618E-3</v>
      </c>
      <c r="CG34">
        <f t="shared" si="28"/>
        <v>4.2539999999895883E-2</v>
      </c>
      <c r="CJ34" t="s">
        <v>249</v>
      </c>
    </row>
    <row r="35" spans="1:88" x14ac:dyDescent="0.25">
      <c r="A35" s="10"/>
      <c r="B35" s="10" t="s">
        <v>82</v>
      </c>
      <c r="C35" s="11" t="s">
        <v>238</v>
      </c>
      <c r="D35" s="10">
        <v>25767032</v>
      </c>
      <c r="E35" s="11">
        <v>11</v>
      </c>
      <c r="F35" s="11">
        <v>10</v>
      </c>
      <c r="G35" s="11">
        <v>30</v>
      </c>
      <c r="I35" s="12">
        <f t="shared" si="0"/>
        <v>4.6513920000000004</v>
      </c>
      <c r="J35" s="13">
        <f t="shared" si="1"/>
        <v>6.0172393933457295E-2</v>
      </c>
      <c r="K35" s="13">
        <f t="shared" si="2"/>
        <v>4.4368944005658086E-2</v>
      </c>
      <c r="L35" s="13">
        <f t="shared" si="3"/>
        <v>2.8376104783818329E-2</v>
      </c>
      <c r="M35" s="13">
        <f t="shared" si="4"/>
        <v>1.5803449927799213E-2</v>
      </c>
      <c r="N35" s="10">
        <f t="shared" si="5"/>
        <v>1143256</v>
      </c>
      <c r="O35" s="13">
        <f t="shared" si="6"/>
        <v>6.6817738739549007E-2</v>
      </c>
      <c r="P35" s="14">
        <v>23204377</v>
      </c>
      <c r="Q35" s="14">
        <v>2320437.7000000002</v>
      </c>
      <c r="R35" s="14">
        <v>29148.2</v>
      </c>
      <c r="S35" s="15">
        <v>1550464</v>
      </c>
      <c r="T35" s="15">
        <v>731168</v>
      </c>
      <c r="U35" s="15">
        <v>412088</v>
      </c>
      <c r="V35" s="15">
        <v>407208</v>
      </c>
      <c r="W35" s="16">
        <v>73.224719999999991</v>
      </c>
      <c r="X35" s="16">
        <v>75.451709999999991</v>
      </c>
      <c r="Y35" s="16">
        <v>32.014300000000013</v>
      </c>
      <c r="Z35" s="16">
        <v>42.177160000000001</v>
      </c>
      <c r="AA35" s="16">
        <v>43.383020000000002</v>
      </c>
      <c r="AB35" s="17">
        <v>954.58800000000008</v>
      </c>
      <c r="AC35" s="17">
        <v>6827.1</v>
      </c>
      <c r="AD35" s="17">
        <v>13.736000000000001</v>
      </c>
      <c r="AE35" s="17">
        <v>10.728</v>
      </c>
      <c r="AG35" s="12">
        <f t="shared" si="7"/>
        <v>4.6135919999999997</v>
      </c>
      <c r="AH35" s="13">
        <f t="shared" si="8"/>
        <v>5.9683396985729671E-2</v>
      </c>
      <c r="AI35" s="13">
        <f t="shared" si="9"/>
        <v>4.4164651947496317E-2</v>
      </c>
      <c r="AJ35" s="13">
        <f t="shared" si="10"/>
        <v>2.8592194863576063E-2</v>
      </c>
      <c r="AK35" s="13">
        <f t="shared" si="11"/>
        <v>1.5518745038233351E-2</v>
      </c>
      <c r="AL35" s="10">
        <f t="shared" si="12"/>
        <v>1137992</v>
      </c>
      <c r="AM35" s="13">
        <f t="shared" si="13"/>
        <v>6.6274737735902159E-2</v>
      </c>
      <c r="AN35" s="14">
        <v>23204377</v>
      </c>
      <c r="AO35" s="14">
        <v>2320437.7000000002</v>
      </c>
      <c r="AP35" s="14">
        <v>29148.2</v>
      </c>
      <c r="AQ35" s="15">
        <v>1537864</v>
      </c>
      <c r="AR35" s="15">
        <v>736736</v>
      </c>
      <c r="AS35" s="15">
        <v>401256</v>
      </c>
      <c r="AT35" s="15">
        <v>399872</v>
      </c>
      <c r="AU35" s="16">
        <v>73.323329999999999</v>
      </c>
      <c r="AV35" s="16">
        <v>75.2155699999999</v>
      </c>
      <c r="AW35" s="16">
        <v>32.060549999999999</v>
      </c>
      <c r="AX35" s="16">
        <v>42.230800000000002</v>
      </c>
      <c r="AY35" s="16">
        <v>43.792960000000001</v>
      </c>
      <c r="AZ35" s="17">
        <v>846.24900000000002</v>
      </c>
      <c r="BA35" s="17">
        <v>6259.5</v>
      </c>
      <c r="BB35" s="17">
        <v>8.3320000000000007</v>
      </c>
      <c r="BC35" s="17">
        <v>32.112000000000002</v>
      </c>
      <c r="BE35" s="18">
        <f t="shared" si="14"/>
        <v>0.99539560693318019</v>
      </c>
      <c r="BF35" s="19">
        <f t="shared" si="15"/>
        <v>0</v>
      </c>
      <c r="BG35" s="19">
        <f t="shared" si="16"/>
        <v>2.618426377222649E-3</v>
      </c>
      <c r="BH35" s="19">
        <f t="array" ref="BH35">AVERAGE(AL35:AL39/AQ35:AQ39) - AVERAGE(N35:N39/S35:S39)</f>
        <v>7.6515522586501072E-3</v>
      </c>
      <c r="BJ35" s="18">
        <f>IF( OR(ISBLANK(N35:N39),ISBLANK(AL35:AL39), ISBLANK(W35:W39),ISBLANK(AU35:AU39)), "·", bdRateExtend( N35:N39,W35:W39, AL35:AL39,AU35:AU39))</f>
        <v>-4.4969924103062109E-3</v>
      </c>
      <c r="BK35" s="18">
        <f>IF( OR(ISBLANK(N35:N39),ISBLANK(AL35:AL39), ISBLANK(X35:X39),ISBLANK(AV35:AV39)), "·", bdRateExtend( N35:N39,X35:X39, AL35:AL39,AV35:AV39))</f>
        <v>1.4494353495350998E-2</v>
      </c>
      <c r="BL35" s="18">
        <f>IF( OR(ISBLANK(V35:V39),ISBLANK(AT35:AT39), ISBLANK(Y35:Y39),ISBLANK(AW35:AW39)), "·", bdRateExtend( V35:V39,Y35:Y39, AT35:AT39,AW35:AW39))</f>
        <v>-3.6027113154275203E-2</v>
      </c>
      <c r="BM35" s="18">
        <f>IF( OR(ISBLANK(V35:V39),ISBLANK(AT35:AT39), ISBLANK(Z35:Z39),ISBLANK(AX35:AX39)), "·", bdRateExtend( V35:V39,Z35:Z39, AT35:AT39,AX35:AX39))</f>
        <v>-4.5085935894636164E-2</v>
      </c>
      <c r="BN35" s="18">
        <f>IF( OR(ISBLANK(V35:V39),ISBLANK(AT35:AT39), ISBLANK(AA35:AA39),ISBLANK(AY35:AY39)), "·", bdRateExtend( V35:V39,AA35:AA39, AT35:AT39,AY35:AY39))</f>
        <v>-1.6052658910586493E-2</v>
      </c>
      <c r="BP35" s="18">
        <f>IF( OR(ISBLANK(S35:S39),ISBLANK(AQ35:AQ39), ISBLANK(W35:W39),ISBLANK(AU35:AU39)), "·", bdRateExtend( S35:S39,W35:W39, AQ35:AQ39,AU35:AU39))</f>
        <v>-2.0688343714368007E-2</v>
      </c>
      <c r="BQ35" s="18">
        <f>IF( OR(ISBLANK(S35:S39),ISBLANK(AQ35:AQ39), ISBLANK(X35:X39),ISBLANK(AV35:AV39)), "·", bdRateExtend( S35:S39,X35:X39, AQ35:AQ39,AV35:AV39))</f>
        <v>4.3938689160765154E-3</v>
      </c>
      <c r="BR35" s="18">
        <f>IF( OR(ISBLANK(S35:S39),ISBLANK(AQ35:AQ39), ISBLANK(Y35:Y39),ISBLANK(AW35:AW39)), "·", bdRateExtend( S35:S39,Y35:Y39, AQ35:AQ39,AW35:AW39))</f>
        <v>-1.7153395400766214E-2</v>
      </c>
      <c r="BS35" s="18">
        <f>IF( OR(ISBLANK(S35:S39),ISBLANK(AQ35:AQ39), ISBLANK(Z35:Z39),ISBLANK(AX35:AX39)), "·", bdRateExtend( S35:S39,Z35:Z39, AQ35:AQ39,AX35:AX39))</f>
        <v>-2.3513443953355084E-2</v>
      </c>
      <c r="BT35" s="18">
        <f>IF( OR(ISBLANK(S35:S39),ISBLANK(AQ35:AQ39), ISBLANK(AA35:AA39),ISBLANK(AY35:AY39)), "·", bdRateExtend( S35:S39,AA35:AA39, AQ35:AQ39,AY35:AY39))</f>
        <v>-4.119233547441481E-3</v>
      </c>
      <c r="BV35">
        <f t="shared" si="17"/>
        <v>0</v>
      </c>
      <c r="BW35">
        <f t="shared" si="18"/>
        <v>0</v>
      </c>
      <c r="BX35">
        <f t="shared" si="19"/>
        <v>0</v>
      </c>
      <c r="BY35">
        <f t="shared" si="20"/>
        <v>-12600</v>
      </c>
      <c r="BZ35">
        <f t="shared" si="21"/>
        <v>5568</v>
      </c>
      <c r="CA35">
        <f t="shared" si="22"/>
        <v>-10832</v>
      </c>
      <c r="CB35">
        <f t="shared" si="23"/>
        <v>-7336</v>
      </c>
      <c r="CC35">
        <f t="shared" si="24"/>
        <v>9.8610000000007858E-2</v>
      </c>
      <c r="CD35">
        <f t="shared" si="25"/>
        <v>-0.23614000000009128</v>
      </c>
      <c r="CE35">
        <f t="shared" si="26"/>
        <v>4.6249999999986358E-2</v>
      </c>
      <c r="CF35">
        <f t="shared" si="27"/>
        <v>5.3640000000001464E-2</v>
      </c>
      <c r="CG35">
        <f t="shared" si="28"/>
        <v>0.40993999999999886</v>
      </c>
      <c r="CJ35" t="s">
        <v>596</v>
      </c>
    </row>
    <row r="36" spans="1:88" outlineLevel="1" x14ac:dyDescent="0.25">
      <c r="A36" s="20"/>
      <c r="B36" s="20" t="s">
        <v>82</v>
      </c>
      <c r="C36" s="21" t="s">
        <v>240</v>
      </c>
      <c r="D36" s="20">
        <v>25767032</v>
      </c>
      <c r="E36" s="21">
        <v>11</v>
      </c>
      <c r="F36" s="21">
        <v>10</v>
      </c>
      <c r="G36" s="21">
        <v>30</v>
      </c>
      <c r="I36" s="22">
        <f t="shared" si="0"/>
        <v>6.2862960000000001</v>
      </c>
      <c r="J36" s="23">
        <f t="shared" si="1"/>
        <v>8.1322210489745195E-2</v>
      </c>
      <c r="K36" s="23">
        <f t="shared" si="2"/>
        <v>5.4625150463584633E-2</v>
      </c>
      <c r="L36" s="23">
        <f t="shared" si="3"/>
        <v>3.8632311241744877E-2</v>
      </c>
      <c r="M36" s="23">
        <f t="shared" si="4"/>
        <v>2.6697060026160561E-2</v>
      </c>
      <c r="N36" s="20">
        <f t="shared" si="5"/>
        <v>1407528</v>
      </c>
      <c r="O36" s="23">
        <f t="shared" si="6"/>
        <v>8.4583163630037261E-2</v>
      </c>
      <c r="P36" s="24">
        <v>24773630</v>
      </c>
      <c r="Q36" s="24">
        <v>2477363</v>
      </c>
      <c r="R36" s="24">
        <v>37204.199999999997</v>
      </c>
      <c r="S36" s="25">
        <v>2095432</v>
      </c>
      <c r="T36" s="25">
        <v>995440</v>
      </c>
      <c r="U36" s="25">
        <v>412088</v>
      </c>
      <c r="V36" s="25">
        <v>687904</v>
      </c>
      <c r="W36" s="26">
        <v>74.958129999999983</v>
      </c>
      <c r="X36" s="26">
        <v>77.389159999999976</v>
      </c>
      <c r="Y36" s="26">
        <v>34.244020000000013</v>
      </c>
      <c r="Z36" s="26">
        <v>42.963889999999999</v>
      </c>
      <c r="AA36" s="26">
        <v>44.794250000000012</v>
      </c>
      <c r="AB36" s="27">
        <v>943.54</v>
      </c>
      <c r="AC36" s="27">
        <v>7721.66</v>
      </c>
      <c r="AD36" s="27">
        <v>14.016</v>
      </c>
      <c r="AE36" s="27">
        <v>11.651999999999999</v>
      </c>
      <c r="AG36" s="22">
        <f t="shared" si="7"/>
        <v>6.2762399999999996</v>
      </c>
      <c r="AH36" s="23">
        <f t="shared" si="8"/>
        <v>8.1192121777937012E-2</v>
      </c>
      <c r="AI36" s="23">
        <f t="shared" si="9"/>
        <v>5.4729469812433193E-2</v>
      </c>
      <c r="AJ36" s="23">
        <f t="shared" si="10"/>
        <v>3.9157012728512929E-2</v>
      </c>
      <c r="AK36" s="23">
        <f t="shared" si="11"/>
        <v>2.6462651965503826E-2</v>
      </c>
      <c r="AL36" s="20">
        <f t="shared" si="12"/>
        <v>1410216</v>
      </c>
      <c r="AM36" s="23">
        <f t="shared" si="13"/>
        <v>8.4447858468863865E-2</v>
      </c>
      <c r="AN36" s="24">
        <v>24773630</v>
      </c>
      <c r="AO36" s="24">
        <v>2477363</v>
      </c>
      <c r="AP36" s="24">
        <v>37204.199999999997</v>
      </c>
      <c r="AQ36" s="25">
        <v>2092080</v>
      </c>
      <c r="AR36" s="25">
        <v>1008960</v>
      </c>
      <c r="AS36" s="25">
        <v>401256</v>
      </c>
      <c r="AT36" s="25">
        <v>681864</v>
      </c>
      <c r="AU36" s="26">
        <v>75.001729999999995</v>
      </c>
      <c r="AV36" s="26">
        <v>77.261930000000007</v>
      </c>
      <c r="AW36" s="26">
        <v>34.262149999999998</v>
      </c>
      <c r="AX36" s="26">
        <v>42.980370000000001</v>
      </c>
      <c r="AY36" s="26">
        <v>44.662269999999999</v>
      </c>
      <c r="AZ36" s="27">
        <v>835.07299999999998</v>
      </c>
      <c r="BA36" s="27">
        <v>6627.11</v>
      </c>
      <c r="BB36" s="27">
        <v>8.4269999999999996</v>
      </c>
      <c r="BC36" s="27">
        <v>31.876000000000001</v>
      </c>
      <c r="BE36" s="28">
        <f t="shared" si="14"/>
        <v>1.0019097311030403</v>
      </c>
      <c r="BF36" s="29">
        <f t="shared" si="15"/>
        <v>0</v>
      </c>
      <c r="BG36" s="29">
        <f t="shared" si="16"/>
        <v>2.3610858630053189E-3</v>
      </c>
      <c r="BH36" s="29"/>
      <c r="BJ36" s="28"/>
      <c r="BK36" s="28"/>
      <c r="BL36" s="28"/>
      <c r="BM36" s="28"/>
      <c r="BN36" s="28"/>
      <c r="BP36" s="28"/>
      <c r="BQ36" s="28"/>
      <c r="BR36" s="28"/>
      <c r="BS36" s="28"/>
      <c r="BT36" s="28"/>
      <c r="BV36">
        <f t="shared" si="17"/>
        <v>0</v>
      </c>
      <c r="BW36">
        <f t="shared" si="18"/>
        <v>0</v>
      </c>
      <c r="BX36">
        <f t="shared" si="19"/>
        <v>0</v>
      </c>
      <c r="BY36">
        <f t="shared" si="20"/>
        <v>-3352</v>
      </c>
      <c r="BZ36">
        <f t="shared" si="21"/>
        <v>13520</v>
      </c>
      <c r="CA36">
        <f t="shared" si="22"/>
        <v>-10832</v>
      </c>
      <c r="CB36">
        <f t="shared" si="23"/>
        <v>-6040</v>
      </c>
      <c r="CC36">
        <f t="shared" si="24"/>
        <v>4.3600000000012074E-2</v>
      </c>
      <c r="CD36">
        <f t="shared" si="25"/>
        <v>-0.12722999999996887</v>
      </c>
      <c r="CE36">
        <f t="shared" si="26"/>
        <v>1.8129999999985102E-2</v>
      </c>
      <c r="CF36">
        <f t="shared" si="27"/>
        <v>1.6480000000001382E-2</v>
      </c>
      <c r="CG36">
        <f t="shared" si="28"/>
        <v>-0.13198000000001286</v>
      </c>
      <c r="CJ36" t="s">
        <v>596</v>
      </c>
    </row>
    <row r="37" spans="1:88" outlineLevel="1" x14ac:dyDescent="0.25">
      <c r="A37" s="10"/>
      <c r="B37" s="10" t="s">
        <v>82</v>
      </c>
      <c r="C37" s="11" t="s">
        <v>241</v>
      </c>
      <c r="D37" s="10">
        <v>25767032</v>
      </c>
      <c r="E37" s="11">
        <v>11</v>
      </c>
      <c r="F37" s="11">
        <v>10</v>
      </c>
      <c r="G37" s="11">
        <v>30</v>
      </c>
      <c r="I37" s="12">
        <f t="shared" si="0"/>
        <v>9.1420080000000006</v>
      </c>
      <c r="J37" s="13">
        <f t="shared" si="1"/>
        <v>0.11826492084924643</v>
      </c>
      <c r="K37" s="13">
        <f t="shared" si="2"/>
        <v>6.9606775044948915E-2</v>
      </c>
      <c r="L37" s="13">
        <f t="shared" si="3"/>
        <v>5.3613935823109159E-2</v>
      </c>
      <c r="M37" s="13">
        <f t="shared" si="4"/>
        <v>4.8658145804297524E-2</v>
      </c>
      <c r="N37" s="10">
        <f t="shared" si="5"/>
        <v>1793560</v>
      </c>
      <c r="O37" s="13">
        <f t="shared" si="6"/>
        <v>0.12034702406568462</v>
      </c>
      <c r="P37" s="14">
        <v>25321241</v>
      </c>
      <c r="Q37" s="14">
        <v>2532124.1</v>
      </c>
      <c r="R37" s="14">
        <v>40926.1</v>
      </c>
      <c r="S37" s="15">
        <v>3047336</v>
      </c>
      <c r="T37" s="15">
        <v>1381472</v>
      </c>
      <c r="U37" s="15">
        <v>412088</v>
      </c>
      <c r="V37" s="15">
        <v>1253776</v>
      </c>
      <c r="W37" s="16">
        <v>76.252919999999989</v>
      </c>
      <c r="X37" s="16">
        <v>78.959090000000003</v>
      </c>
      <c r="Y37" s="16">
        <v>36.258439999999993</v>
      </c>
      <c r="Z37" s="16">
        <v>43.630249999999997</v>
      </c>
      <c r="AA37" s="16">
        <v>46.312810000000013</v>
      </c>
      <c r="AB37" s="17">
        <v>950.38800000000003</v>
      </c>
      <c r="AC37" s="17">
        <v>7999.79</v>
      </c>
      <c r="AD37" s="17">
        <v>14.704000000000001</v>
      </c>
      <c r="AE37" s="17">
        <v>10.464</v>
      </c>
      <c r="AG37" s="12">
        <f t="shared" si="7"/>
        <v>9.0537120000000009</v>
      </c>
      <c r="AH37" s="13">
        <f t="shared" si="8"/>
        <v>0.11712268607420522</v>
      </c>
      <c r="AI37" s="13">
        <f t="shared" si="9"/>
        <v>6.9622298757575182E-2</v>
      </c>
      <c r="AJ37" s="13">
        <f t="shared" si="10"/>
        <v>5.4049841673654925E-2</v>
      </c>
      <c r="AK37" s="13">
        <f t="shared" si="11"/>
        <v>4.7500387316630026E-2</v>
      </c>
      <c r="AL37" s="10">
        <f t="shared" si="12"/>
        <v>1793960</v>
      </c>
      <c r="AM37" s="13">
        <f t="shared" si="13"/>
        <v>0.11918467977142194</v>
      </c>
      <c r="AN37" s="14">
        <v>25321241</v>
      </c>
      <c r="AO37" s="14">
        <v>2532124.1</v>
      </c>
      <c r="AP37" s="14">
        <v>40926.1</v>
      </c>
      <c r="AQ37" s="15">
        <v>3017904</v>
      </c>
      <c r="AR37" s="15">
        <v>1392704</v>
      </c>
      <c r="AS37" s="15">
        <v>401256</v>
      </c>
      <c r="AT37" s="15">
        <v>1223944</v>
      </c>
      <c r="AU37" s="16">
        <v>76.305239999999998</v>
      </c>
      <c r="AV37" s="16">
        <v>78.938029999999998</v>
      </c>
      <c r="AW37" s="16">
        <v>36.291170000000001</v>
      </c>
      <c r="AX37" s="16">
        <v>43.620660000000001</v>
      </c>
      <c r="AY37" s="16">
        <v>46.215679999999999</v>
      </c>
      <c r="AZ37" s="17">
        <v>832.63900000000001</v>
      </c>
      <c r="BA37" s="17">
        <v>6966.29</v>
      </c>
      <c r="BB37" s="17">
        <v>8.4250000000000007</v>
      </c>
      <c r="BC37" s="17">
        <v>32.316000000000003</v>
      </c>
      <c r="BE37" s="18">
        <f t="shared" si="14"/>
        <v>1.0002230201387183</v>
      </c>
      <c r="BF37" s="19">
        <f t="shared" si="15"/>
        <v>0</v>
      </c>
      <c r="BG37" s="19">
        <f t="shared" si="16"/>
        <v>5.8725162728391345E-3</v>
      </c>
      <c r="BH37" s="19"/>
      <c r="BJ37" s="18"/>
      <c r="BK37" s="18"/>
      <c r="BL37" s="18"/>
      <c r="BM37" s="18"/>
      <c r="BN37" s="18"/>
      <c r="BP37" s="18"/>
      <c r="BQ37" s="18"/>
      <c r="BR37" s="18"/>
      <c r="BS37" s="18"/>
      <c r="BT37" s="18"/>
      <c r="BV37">
        <f t="shared" si="17"/>
        <v>0</v>
      </c>
      <c r="BW37">
        <f t="shared" si="18"/>
        <v>0</v>
      </c>
      <c r="BX37">
        <f t="shared" si="19"/>
        <v>0</v>
      </c>
      <c r="BY37">
        <f t="shared" si="20"/>
        <v>-29432</v>
      </c>
      <c r="BZ37">
        <f t="shared" si="21"/>
        <v>11232</v>
      </c>
      <c r="CA37">
        <f t="shared" si="22"/>
        <v>-10832</v>
      </c>
      <c r="CB37">
        <f t="shared" si="23"/>
        <v>-29832</v>
      </c>
      <c r="CC37">
        <f t="shared" si="24"/>
        <v>5.2320000000008804E-2</v>
      </c>
      <c r="CD37">
        <f t="shared" si="25"/>
        <v>-2.106000000000563E-2</v>
      </c>
      <c r="CE37">
        <f t="shared" si="26"/>
        <v>3.2730000000007919E-2</v>
      </c>
      <c r="CF37">
        <f t="shared" si="27"/>
        <v>-9.5899999999957686E-3</v>
      </c>
      <c r="CG37">
        <f t="shared" si="28"/>
        <v>-9.7130000000014149E-2</v>
      </c>
      <c r="CJ37" t="s">
        <v>596</v>
      </c>
    </row>
    <row r="38" spans="1:88" outlineLevel="1" x14ac:dyDescent="0.25">
      <c r="A38" s="20"/>
      <c r="B38" s="20" t="s">
        <v>82</v>
      </c>
      <c r="C38" s="21" t="s">
        <v>242</v>
      </c>
      <c r="D38" s="20">
        <v>25767032</v>
      </c>
      <c r="E38" s="21">
        <v>11</v>
      </c>
      <c r="F38" s="21">
        <v>10</v>
      </c>
      <c r="G38" s="21">
        <v>30</v>
      </c>
      <c r="I38" s="22">
        <f t="shared" si="0"/>
        <v>15.112992</v>
      </c>
      <c r="J38" s="23">
        <f t="shared" si="1"/>
        <v>0.19550812060931194</v>
      </c>
      <c r="K38" s="23">
        <f t="shared" si="2"/>
        <v>9.4801139688886177E-2</v>
      </c>
      <c r="L38" s="23">
        <f t="shared" si="3"/>
        <v>7.8808300467046413E-2</v>
      </c>
      <c r="M38" s="23">
        <f t="shared" si="4"/>
        <v>0.10070698092042576</v>
      </c>
      <c r="N38" s="20">
        <f t="shared" si="5"/>
        <v>2442744</v>
      </c>
      <c r="O38" s="23">
        <f t="shared" si="6"/>
        <v>0.19411779235201182</v>
      </c>
      <c r="P38" s="24">
        <v>25951583</v>
      </c>
      <c r="Q38" s="24">
        <v>2595158.2999999998</v>
      </c>
      <c r="R38" s="24">
        <v>45753.7</v>
      </c>
      <c r="S38" s="25">
        <v>5037664</v>
      </c>
      <c r="T38" s="25">
        <v>2030656</v>
      </c>
      <c r="U38" s="25">
        <v>412088</v>
      </c>
      <c r="V38" s="25">
        <v>2594920</v>
      </c>
      <c r="W38" s="26">
        <v>77.425530000000023</v>
      </c>
      <c r="X38" s="26">
        <v>80.159799999999976</v>
      </c>
      <c r="Y38" s="26">
        <v>38.162660000000002</v>
      </c>
      <c r="Z38" s="26">
        <v>44.274769999999997</v>
      </c>
      <c r="AA38" s="26">
        <v>47.361440000000002</v>
      </c>
      <c r="AB38" s="27">
        <v>925.56399999999996</v>
      </c>
      <c r="AC38" s="27">
        <v>7282.04</v>
      </c>
      <c r="AD38" s="27">
        <v>14.036</v>
      </c>
      <c r="AE38" s="27">
        <v>12.42</v>
      </c>
      <c r="AG38" s="22">
        <f t="shared" si="7"/>
        <v>14.829864000000001</v>
      </c>
      <c r="AH38" s="23">
        <f t="shared" si="8"/>
        <v>0.19184545585226889</v>
      </c>
      <c r="AI38" s="23">
        <f t="shared" si="9"/>
        <v>9.5912016564422317E-2</v>
      </c>
      <c r="AJ38" s="23">
        <f t="shared" si="10"/>
        <v>8.033955948050206E-2</v>
      </c>
      <c r="AK38" s="23">
        <f t="shared" si="11"/>
        <v>9.5933439287846575E-2</v>
      </c>
      <c r="AL38" s="20">
        <f t="shared" si="12"/>
        <v>2471368</v>
      </c>
      <c r="AM38" s="23">
        <f t="shared" si="13"/>
        <v>0.19048117411565993</v>
      </c>
      <c r="AN38" s="24">
        <v>25951583</v>
      </c>
      <c r="AO38" s="24">
        <v>2595158.2999999998</v>
      </c>
      <c r="AP38" s="24">
        <v>45753.7</v>
      </c>
      <c r="AQ38" s="25">
        <v>4943288</v>
      </c>
      <c r="AR38" s="25">
        <v>2070112</v>
      </c>
      <c r="AS38" s="25">
        <v>401256</v>
      </c>
      <c r="AT38" s="25">
        <v>2471920</v>
      </c>
      <c r="AU38" s="26">
        <v>77.427809999999994</v>
      </c>
      <c r="AV38" s="26">
        <v>80.130949999999999</v>
      </c>
      <c r="AW38" s="26">
        <v>38.189409999999903</v>
      </c>
      <c r="AX38" s="26">
        <v>44.297220000000003</v>
      </c>
      <c r="AY38" s="26">
        <v>47.374589999999998</v>
      </c>
      <c r="AZ38" s="27">
        <v>838.63400000000001</v>
      </c>
      <c r="BA38" s="27">
        <v>7394.71</v>
      </c>
      <c r="BB38" s="27">
        <v>8.5340000000000007</v>
      </c>
      <c r="BC38" s="27">
        <v>33.11</v>
      </c>
      <c r="BE38" s="28">
        <f t="shared" si="14"/>
        <v>1.0117179696275991</v>
      </c>
      <c r="BF38" s="29">
        <f t="shared" si="15"/>
        <v>0</v>
      </c>
      <c r="BG38" s="29">
        <f t="shared" si="16"/>
        <v>1.5047992616824546E-2</v>
      </c>
      <c r="BH38" s="29"/>
      <c r="BJ38" s="28"/>
      <c r="BK38" s="28"/>
      <c r="BL38" s="28"/>
      <c r="BM38" s="28"/>
      <c r="BN38" s="28"/>
      <c r="BP38" s="28"/>
      <c r="BQ38" s="28"/>
      <c r="BR38" s="28"/>
      <c r="BS38" s="28"/>
      <c r="BT38" s="28"/>
      <c r="BV38">
        <f t="shared" si="17"/>
        <v>0</v>
      </c>
      <c r="BW38">
        <f t="shared" si="18"/>
        <v>0</v>
      </c>
      <c r="BX38">
        <f t="shared" si="19"/>
        <v>0</v>
      </c>
      <c r="BY38">
        <f t="shared" si="20"/>
        <v>-94376</v>
      </c>
      <c r="BZ38">
        <f t="shared" si="21"/>
        <v>39456</v>
      </c>
      <c r="CA38">
        <f t="shared" si="22"/>
        <v>-10832</v>
      </c>
      <c r="CB38">
        <f t="shared" si="23"/>
        <v>-123000</v>
      </c>
      <c r="CC38">
        <f t="shared" si="24"/>
        <v>2.2799999999705278E-3</v>
      </c>
      <c r="CD38">
        <f t="shared" si="25"/>
        <v>-2.8849999999977172E-2</v>
      </c>
      <c r="CE38">
        <f t="shared" si="26"/>
        <v>2.6749999999900353E-2</v>
      </c>
      <c r="CF38">
        <f t="shared" si="27"/>
        <v>2.2450000000006298E-2</v>
      </c>
      <c r="CG38">
        <f t="shared" si="28"/>
        <v>1.3149999999995998E-2</v>
      </c>
      <c r="CJ38" t="s">
        <v>596</v>
      </c>
    </row>
    <row r="39" spans="1:88" ht="15.75" customHeight="1" outlineLevel="1" thickBot="1" x14ac:dyDescent="0.3">
      <c r="A39" s="30"/>
      <c r="B39" s="30" t="s">
        <v>82</v>
      </c>
      <c r="C39" s="31" t="s">
        <v>243</v>
      </c>
      <c r="D39" s="30">
        <v>25767032</v>
      </c>
      <c r="E39" s="31">
        <v>11</v>
      </c>
      <c r="F39" s="31">
        <v>10</v>
      </c>
      <c r="G39" s="31">
        <v>30</v>
      </c>
      <c r="I39" s="32">
        <f t="shared" si="0"/>
        <v>30.130368000000001</v>
      </c>
      <c r="J39" s="33">
        <f t="shared" si="1"/>
        <v>0.38977931179656239</v>
      </c>
      <c r="K39" s="33">
        <f t="shared" si="2"/>
        <v>0.15336341414874635</v>
      </c>
      <c r="L39" s="33">
        <f t="shared" si="3"/>
        <v>0.12114984760371315</v>
      </c>
      <c r="M39" s="33">
        <f t="shared" si="4"/>
        <v>0.23641589764781601</v>
      </c>
      <c r="N39" s="30">
        <f t="shared" si="5"/>
        <v>3951720</v>
      </c>
      <c r="O39" s="33">
        <f t="shared" si="6"/>
        <v>0.3951764924140615</v>
      </c>
      <c r="P39" s="34">
        <v>25415115</v>
      </c>
      <c r="Q39" s="34">
        <v>2541511.5</v>
      </c>
      <c r="R39" s="34">
        <v>18289.099999999999</v>
      </c>
      <c r="S39" s="35">
        <v>10043456</v>
      </c>
      <c r="T39" s="35">
        <v>3121672</v>
      </c>
      <c r="U39" s="35">
        <v>830048</v>
      </c>
      <c r="V39" s="35">
        <v>6091736</v>
      </c>
      <c r="W39" s="36">
        <v>78.300060000000002</v>
      </c>
      <c r="X39" s="36">
        <v>81.864459999999994</v>
      </c>
      <c r="Y39" s="36">
        <v>40.195040000000013</v>
      </c>
      <c r="Z39" s="36">
        <v>45.189349999999997</v>
      </c>
      <c r="AA39" s="36">
        <v>48.673400000000001</v>
      </c>
      <c r="AB39" s="37">
        <v>923.12</v>
      </c>
      <c r="AC39" s="37">
        <v>7899.1</v>
      </c>
      <c r="AD39" s="37">
        <v>13.904</v>
      </c>
      <c r="AE39" s="37">
        <v>14.348000000000001</v>
      </c>
      <c r="AG39" s="32">
        <f t="shared" si="7"/>
        <v>29.324159999999999</v>
      </c>
      <c r="AH39" s="33">
        <f t="shared" si="8"/>
        <v>0.37934986070572663</v>
      </c>
      <c r="AI39" s="33">
        <f t="shared" si="9"/>
        <v>0.1539477266919993</v>
      </c>
      <c r="AJ39" s="33">
        <f t="shared" si="10"/>
        <v>0.12265937341949201</v>
      </c>
      <c r="AK39" s="33">
        <f t="shared" si="11"/>
        <v>0.2254021340137273</v>
      </c>
      <c r="AL39" s="30">
        <f t="shared" si="12"/>
        <v>3966776</v>
      </c>
      <c r="AM39" s="33">
        <f t="shared" si="13"/>
        <v>0.38460262721612709</v>
      </c>
      <c r="AN39" s="34">
        <v>25415115</v>
      </c>
      <c r="AO39" s="34">
        <v>2541511.5</v>
      </c>
      <c r="AP39" s="34">
        <v>18289.099999999999</v>
      </c>
      <c r="AQ39" s="35">
        <v>9774720</v>
      </c>
      <c r="AR39" s="35">
        <v>3160568</v>
      </c>
      <c r="AS39" s="35">
        <v>806208</v>
      </c>
      <c r="AT39" s="35">
        <v>5807944</v>
      </c>
      <c r="AU39" s="36">
        <v>78.326409999999996</v>
      </c>
      <c r="AV39" s="36">
        <v>81.8651499999999</v>
      </c>
      <c r="AW39" s="36">
        <v>40.217309999999998</v>
      </c>
      <c r="AX39" s="36">
        <v>45.2257099999999</v>
      </c>
      <c r="AY39" s="36">
        <v>48.720059999999997</v>
      </c>
      <c r="AZ39" s="37">
        <v>837.42200000000003</v>
      </c>
      <c r="BA39" s="37">
        <v>7969.62</v>
      </c>
      <c r="BB39" s="37">
        <v>8.8230000000000004</v>
      </c>
      <c r="BC39" s="37">
        <v>37.14</v>
      </c>
      <c r="BE39" s="38">
        <f t="shared" si="14"/>
        <v>1.0038099865375076</v>
      </c>
      <c r="BF39" s="39">
        <f t="shared" si="15"/>
        <v>0</v>
      </c>
      <c r="BG39" s="39">
        <f t="shared" si="16"/>
        <v>1.2357740163358777E-2</v>
      </c>
      <c r="BH39" s="39"/>
      <c r="BJ39" s="38"/>
      <c r="BK39" s="38"/>
      <c r="BL39" s="38"/>
      <c r="BM39" s="38"/>
      <c r="BN39" s="38"/>
      <c r="BP39" s="38"/>
      <c r="BQ39" s="38"/>
      <c r="BR39" s="38"/>
      <c r="BS39" s="38"/>
      <c r="BT39" s="38"/>
      <c r="BV39">
        <f t="shared" si="17"/>
        <v>0</v>
      </c>
      <c r="BW39">
        <f t="shared" si="18"/>
        <v>0</v>
      </c>
      <c r="BX39">
        <f t="shared" si="19"/>
        <v>0</v>
      </c>
      <c r="BY39">
        <f t="shared" si="20"/>
        <v>-268736</v>
      </c>
      <c r="BZ39">
        <f t="shared" si="21"/>
        <v>38896</v>
      </c>
      <c r="CA39">
        <f t="shared" si="22"/>
        <v>-23840</v>
      </c>
      <c r="CB39">
        <f t="shared" si="23"/>
        <v>-283792</v>
      </c>
      <c r="CC39">
        <f t="shared" si="24"/>
        <v>2.6349999999993656E-2</v>
      </c>
      <c r="CD39">
        <f t="shared" si="25"/>
        <v>6.8999999990637662E-4</v>
      </c>
      <c r="CE39">
        <f t="shared" si="26"/>
        <v>2.2269999999984691E-2</v>
      </c>
      <c r="CF39">
        <f t="shared" si="27"/>
        <v>3.635999999990247E-2</v>
      </c>
      <c r="CG39">
        <f t="shared" si="28"/>
        <v>4.6659999999995705E-2</v>
      </c>
      <c r="CJ39" t="s">
        <v>596</v>
      </c>
    </row>
    <row r="40" spans="1:88" x14ac:dyDescent="0.25">
      <c r="B40" s="50" t="s">
        <v>16</v>
      </c>
      <c r="J40" s="51">
        <f>AVERAGE(J5:J24)</f>
        <v>0.17596667767503843</v>
      </c>
      <c r="K40" s="51">
        <f>AVERAGE(K5:K24)</f>
        <v>8.7931579137228294E-2</v>
      </c>
      <c r="L40" s="51">
        <f>AVERAGE(L5:L24)</f>
        <v>6.4157107284175924E-2</v>
      </c>
      <c r="M40" s="51">
        <f>AVERAGE(M5:M24)</f>
        <v>8.8035098537810136E-2</v>
      </c>
      <c r="AH40" s="51">
        <f>AVERAGE(AH5:AH24)</f>
        <v>0.20143910926355085</v>
      </c>
      <c r="AI40" s="51">
        <f>AVERAGE(AI5:AI24)</f>
        <v>0.10770875226403749</v>
      </c>
      <c r="AJ40" s="51">
        <f>AVERAGE(AJ5:AJ24)</f>
        <v>7.5827732710916529E-2</v>
      </c>
      <c r="AK40" s="51">
        <f>AVERAGE(AK5:AK24)</f>
        <v>9.373035699951332E-2</v>
      </c>
      <c r="BE40" s="4">
        <f t="shared" si="14"/>
        <v>1.2249154777027764</v>
      </c>
      <c r="BH40" s="55">
        <f>AVERAGE(BH5:BH24)</f>
        <v>1.5925988086316567E-2</v>
      </c>
      <c r="BJ40" s="4">
        <f>AVERAGE(BJ5:BJ24)</f>
        <v>0.50446115745974851</v>
      </c>
      <c r="BK40" s="4">
        <f>AVERAGE(BK5:BK24)</f>
        <v>0.52268058858675204</v>
      </c>
      <c r="BL40" s="4">
        <f>AVERAGE(BL5:BL24)</f>
        <v>0.25971684865480088</v>
      </c>
      <c r="BM40" s="4">
        <f>AVERAGE(BM5:BM24)</f>
        <v>0.28906122629081749</v>
      </c>
      <c r="BN40" s="4">
        <f>AVERAGE(BN5:BN24)</f>
        <v>0.29794696998607129</v>
      </c>
      <c r="BP40" s="4">
        <f>AVERAGE(BP5:BP24)</f>
        <v>0.6665140276453696</v>
      </c>
      <c r="BQ40" s="4">
        <f>AVERAGE(BQ5:BQ24)</f>
        <v>0.67766818341632873</v>
      </c>
      <c r="BR40" s="4">
        <f>AVERAGE(BR5:BR24)</f>
        <v>0.27163852109158415</v>
      </c>
      <c r="BS40" s="4">
        <f>AVERAGE(BS5:BS24)</f>
        <v>0.28323963905557736</v>
      </c>
      <c r="BT40" s="4">
        <f>AVERAGE(BT5:BT24)</f>
        <v>0.28909085888603958</v>
      </c>
    </row>
    <row r="41" spans="1:88" x14ac:dyDescent="0.25">
      <c r="B41" s="50" t="s">
        <v>17</v>
      </c>
      <c r="J41" s="51">
        <f>AVERAGE(J25:J29)</f>
        <v>0.4154984227498229</v>
      </c>
      <c r="K41" s="51">
        <f>AVERAGE(K25:K29)</f>
        <v>0.11289659995998802</v>
      </c>
      <c r="L41" s="51">
        <f>AVERAGE(L25:L29)</f>
        <v>8.6692723979480732E-2</v>
      </c>
      <c r="M41" s="51">
        <f>AVERAGE(M25:M29)</f>
        <v>0.30260182278983494</v>
      </c>
      <c r="AH41" s="51">
        <f>AVERAGE(AH25:AH29)</f>
        <v>0.40836528867581467</v>
      </c>
      <c r="AI41" s="51">
        <f>AVERAGE(AI25:AI29)</f>
        <v>0.12659890753973307</v>
      </c>
      <c r="AJ41" s="51">
        <f>AVERAGE(AJ25:AJ29)</f>
        <v>9.5477158870068773E-2</v>
      </c>
      <c r="AK41" s="51">
        <f>AVERAGE(AK25:AK29)</f>
        <v>0.28176638113608155</v>
      </c>
      <c r="BE41" s="4">
        <f t="shared" si="14"/>
        <v>1.1213704184590265</v>
      </c>
      <c r="BH41" s="55">
        <f>AVERAGE(BH25:BH29)</f>
        <v>2.5980906538184745E-2</v>
      </c>
      <c r="BJ41" s="4">
        <f>AVERAGE(BJ25:BJ29)</f>
        <v>0.17621086377482809</v>
      </c>
      <c r="BK41" s="4">
        <f>AVERAGE(BK25:BK29)</f>
        <v>0.18784591534105655</v>
      </c>
      <c r="BL41" s="4">
        <f>AVERAGE(BL25:BL29)</f>
        <v>-6.8047316289295834E-3</v>
      </c>
      <c r="BM41" s="4">
        <f>AVERAGE(BM25:BM29)</f>
        <v>1.4938408031481831E-2</v>
      </c>
      <c r="BN41" s="4">
        <f>AVERAGE(BN25:BN29)</f>
        <v>2.8068423406767407E-2</v>
      </c>
      <c r="BP41" s="4">
        <f>AVERAGE(BP25:BP29)</f>
        <v>0.13849252606401063</v>
      </c>
      <c r="BQ41" s="4">
        <f>AVERAGE(BQ25:BQ29)</f>
        <v>0.14881213232843238</v>
      </c>
      <c r="BR41" s="4">
        <f>AVERAGE(BR25:BR29)</f>
        <v>3.4397021987635057E-2</v>
      </c>
      <c r="BS41" s="4">
        <f>AVERAGE(BS25:BS29)</f>
        <v>5.3574115811033662E-2</v>
      </c>
      <c r="BT41" s="4">
        <f>AVERAGE(BT25:BT29)</f>
        <v>6.4007350934273122E-2</v>
      </c>
    </row>
    <row r="42" spans="1:88" x14ac:dyDescent="0.25">
      <c r="B42" s="50" t="s">
        <v>18</v>
      </c>
      <c r="J42" s="51">
        <f>AVERAGE(J30:J39)</f>
        <v>0.14188892323778549</v>
      </c>
      <c r="K42" s="51">
        <f>AVERAGE(K30:K39)</f>
        <v>7.1465128043057574E-2</v>
      </c>
      <c r="L42" s="51">
        <f>AVERAGE(L30:L39)</f>
        <v>5.4734496915302536E-2</v>
      </c>
      <c r="M42" s="51">
        <f>AVERAGE(M30:M39)</f>
        <v>7.0423795194727884E-2</v>
      </c>
      <c r="AH42" s="51">
        <f>AVERAGE(AH30:AH39)</f>
        <v>0.1420595123837286</v>
      </c>
      <c r="AI42" s="51">
        <f>AVERAGE(AI30:AI39)</f>
        <v>7.2860937793533531E-2</v>
      </c>
      <c r="AJ42" s="51">
        <f>AVERAGE(AJ30:AJ39)</f>
        <v>5.6399035585695166E-2</v>
      </c>
      <c r="AK42" s="51">
        <f>AVERAGE(AK30:AK39)</f>
        <v>6.91985745901951E-2</v>
      </c>
      <c r="BE42" s="4">
        <f t="shared" si="14"/>
        <v>1.0195313405110669</v>
      </c>
      <c r="BH42" s="55">
        <f>AVERAGE(BH30:BH39)</f>
        <v>3.0626915506437036E-3</v>
      </c>
      <c r="BJ42" s="4">
        <f>AVERAGE(BJ30:BJ39)</f>
        <v>2.8455376727587356E-2</v>
      </c>
      <c r="BK42" s="4">
        <f>AVERAGE(BK30:BK39)</f>
        <v>4.4151442931990248E-2</v>
      </c>
      <c r="BL42" s="4">
        <f>AVERAGE(BL30:BL39)</f>
        <v>1.1496751186558518E-2</v>
      </c>
      <c r="BM42" s="4">
        <f>AVERAGE(BM30:BM39)</f>
        <v>5.2441428792565081E-3</v>
      </c>
      <c r="BN42" s="4">
        <f>AVERAGE(BN30:BN39)</f>
        <v>-2.0908090953253911E-2</v>
      </c>
      <c r="BP42" s="4">
        <f>AVERAGE(BP30:BP39)</f>
        <v>2.5712483158106647E-2</v>
      </c>
      <c r="BQ42" s="4">
        <f>AVERAGE(BQ30:BQ39)</f>
        <v>4.664479067639804E-2</v>
      </c>
      <c r="BR42" s="4">
        <f>AVERAGE(BR30:BR39)</f>
        <v>1.4039575236281909E-2</v>
      </c>
      <c r="BS42" s="4">
        <f>AVERAGE(BS30:BS39)</f>
        <v>1.2830324680566663E-2</v>
      </c>
      <c r="BT42" s="4">
        <f>AVERAGE(BT30:BT39)</f>
        <v>-2.5674110923060156E-3</v>
      </c>
    </row>
    <row r="43" spans="1:88" collapsed="1" x14ac:dyDescent="0.25">
      <c r="B43" s="50" t="s">
        <v>19</v>
      </c>
      <c r="J43" s="51">
        <f>AVERAGE(J5:J39)</f>
        <v>0.20044899713222111</v>
      </c>
      <c r="K43" s="51">
        <f>AVERAGE(K5:K39)</f>
        <v>8.6793310370716609E-2</v>
      </c>
      <c r="L43" s="51">
        <f>AVERAGE(L5:L39)</f>
        <v>6.4684306706684194E-2</v>
      </c>
      <c r="M43" s="51">
        <f>AVERAGE(M5:M39)</f>
        <v>0.11365568676150446</v>
      </c>
      <c r="AH43" s="51">
        <f>AVERAGE(AH5:AH39)</f>
        <v>0.21403439292821075</v>
      </c>
      <c r="AI43" s="51">
        <f>AVERAGE(AI5:AI39)</f>
        <v>0.10045082745470715</v>
      </c>
      <c r="AJ43" s="51">
        <f>AVERAGE(AJ5:AJ39)</f>
        <v>7.3083737269303589E-2</v>
      </c>
      <c r="AK43" s="51">
        <f>AVERAGE(AK5:AK39)</f>
        <v>0.11358356547350358</v>
      </c>
      <c r="BE43" s="4">
        <f t="shared" si="14"/>
        <v>1.1573567942696938</v>
      </c>
      <c r="BH43" s="55">
        <f>AVERAGE(BH5:BH39)</f>
        <v>1.3687177426391204E-2</v>
      </c>
      <c r="BJ43" s="4">
        <f>AVERAGE(BJ5:BJ39)</f>
        <v>0.32156660672414245</v>
      </c>
      <c r="BK43" s="4">
        <f>AVERAGE(BK5:BK39)</f>
        <v>0.3381244507931494</v>
      </c>
      <c r="BL43" s="4">
        <f>AVERAGE(BL5:BL39)</f>
        <v>0.15072230933762729</v>
      </c>
      <c r="BM43" s="4">
        <f>AVERAGE(BM5:BM39)</f>
        <v>0.168810228421895</v>
      </c>
      <c r="BN43" s="4">
        <f>AVERAGE(BN5:BN39)</f>
        <v>0.16829144592064924</v>
      </c>
      <c r="BP43" s="4">
        <f>AVERAGE(BP5:BP39)</f>
        <v>0.40799622899452892</v>
      </c>
      <c r="BQ43" s="4">
        <f>AVERAGE(BQ5:BQ39)</f>
        <v>0.42182492104950609</v>
      </c>
      <c r="BR43" s="4">
        <f>AVERAGE(BR5:BR39)</f>
        <v>0.1641471795466479</v>
      </c>
      <c r="BS43" s="4">
        <f>AVERAGE(BS5:BS39)</f>
        <v>0.1731704744849252</v>
      </c>
      <c r="BT43" s="4">
        <f>AVERAGE(BT5:BT39)</f>
        <v>0.17360513775625991</v>
      </c>
    </row>
    <row r="44" spans="1:88" hidden="1" outlineLevel="2" x14ac:dyDescent="0.25">
      <c r="A44" s="50" t="s">
        <v>251</v>
      </c>
      <c r="B44" s="50" t="s">
        <v>252</v>
      </c>
      <c r="AB44" s="52">
        <f>SUM(AB5:AB24,AB25:AB29,AB30:AB39)</f>
        <v>94606.774000000005</v>
      </c>
      <c r="AC44" s="52">
        <f>SUM(AC5:AC24,AC25:AC29,AC30:AC39)</f>
        <v>195476.93000000002</v>
      </c>
      <c r="AD44" s="52">
        <f>SUM(AD5:AD24,AD25:AD29,AD30:AD39)</f>
        <v>458.44799999999998</v>
      </c>
      <c r="AE44" s="52">
        <f>SUM(AE5:AE24,AE25:AE29,AE30:AE39)</f>
        <v>344.11200000000002</v>
      </c>
      <c r="AZ44" s="52">
        <f>SUM(AZ5:AZ24,AZ25:AZ29,AZ30:AZ39)</f>
        <v>85055.516999999993</v>
      </c>
      <c r="BA44" s="52">
        <f>SUM(BA5:BA24,BA25:BA29,BA30:BA39)</f>
        <v>232253.96999999997</v>
      </c>
      <c r="BB44" s="52">
        <f>SUM(BB5:BB24,BB25:BB29,BB30:BB39)</f>
        <v>305.77799999999996</v>
      </c>
      <c r="BC44" s="52">
        <f>SUM(BC5:BC24,BC25:BC29,BC30:BC39)</f>
        <v>1095.3609999999996</v>
      </c>
    </row>
    <row r="45" spans="1:88" hidden="1" outlineLevel="2" x14ac:dyDescent="0.25">
      <c r="B45" s="50" t="s">
        <v>253</v>
      </c>
      <c r="AZ45" s="55">
        <f>AZ44/AB44</f>
        <v>0.89904256750156164</v>
      </c>
      <c r="BA45" s="55">
        <f>BA44/AC44</f>
        <v>1.1881400531510289</v>
      </c>
      <c r="BB45" s="55">
        <f>BB44/AD44</f>
        <v>0.66698513244686419</v>
      </c>
      <c r="BC45" s="55">
        <f>BC44/AE44</f>
        <v>3.1831525782303425</v>
      </c>
    </row>
    <row r="46" spans="1:88" hidden="1" outlineLevel="2" x14ac:dyDescent="0.25">
      <c r="B46" s="50" t="s">
        <v>254</v>
      </c>
      <c r="AB46" s="52">
        <f>GEOMEAN(AB5:AB24,AB25:AB29,AB30:AB39)</f>
        <v>2256.3959841673741</v>
      </c>
      <c r="AC46" s="52">
        <f>GEOMEAN(AC5:AC24,AC25:AC29,AC30:AC39)</f>
        <v>5429.4773143679386</v>
      </c>
      <c r="AD46" s="52">
        <f>GEOMEAN(AD5:AD24,AD25:AD29,AD30:AD39)</f>
        <v>13.054430098887849</v>
      </c>
      <c r="AE46" s="52">
        <f>GEOMEAN(AE5:AE24,AE25:AE29,AE30:AE39)</f>
        <v>9.6141496549406913</v>
      </c>
      <c r="AZ46" s="52">
        <f>GEOMEAN(AZ5:AZ24,AZ25:AZ29,AZ30:AZ39)</f>
        <v>2027.1978063406718</v>
      </c>
      <c r="BA46" s="52">
        <f>GEOMEAN(BA5:BA24,BA25:BA29,BA30:BA39)</f>
        <v>6556.9456595057964</v>
      </c>
      <c r="BB46" s="52">
        <f>GEOMEAN(BB5:BB24,BB25:BB29,BB30:BB39)</f>
        <v>8.6622420892204506</v>
      </c>
      <c r="BC46" s="52">
        <f>GEOMEAN(BC5:BC24,BC25:BC29,BC30:BC39)</f>
        <v>31.050786883165635</v>
      </c>
    </row>
    <row r="47" spans="1:88" hidden="1" outlineLevel="2" collapsed="1" x14ac:dyDescent="0.25">
      <c r="B47" s="50" t="s">
        <v>255</v>
      </c>
      <c r="AZ47" s="55">
        <f>AZ46/AB46</f>
        <v>0.89842289233142825</v>
      </c>
      <c r="BA47" s="55">
        <f>BA46/AC46</f>
        <v>1.2076568847896751</v>
      </c>
      <c r="BB47" s="55">
        <f>BB46/AD46</f>
        <v>0.66354808471941007</v>
      </c>
      <c r="BC47" s="55">
        <f>BC46/AE46</f>
        <v>3.229696644799855</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avosoughi(ArashVosoughi)</cp:lastModifiedBy>
  <dcterms:created xsi:type="dcterms:W3CDTF">2019-04-23T13:57:55Z</dcterms:created>
  <dcterms:modified xsi:type="dcterms:W3CDTF">2019-07-27T19:27:08Z</dcterms:modified>
</cp:coreProperties>
</file>