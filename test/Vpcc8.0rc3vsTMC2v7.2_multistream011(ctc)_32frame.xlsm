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1"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8.0rc/"/>
    </mc:Choice>
  </mc:AlternateContent>
  <xr:revisionPtr revIDLastSave="0" documentId="13_ncr:1_{37A7409F-FFD9-8A4A-8B92-82E7D01206CD}" xr6:coauthVersionLast="36" xr6:coauthVersionMax="36" xr10:uidLastSave="{00000000-0000-0000-0000-000000000000}"/>
  <bookViews>
    <workbookView xWindow="4040" yWindow="460" windowWidth="43940" windowHeight="25540" activeTab="2" xr2:uid="{00000000-000D-0000-FFFF-FFFF00000000}"/>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CG39" i="3" l="1"/>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BL11" i="5"/>
  <c r="BK11" i="5"/>
  <c r="BJ11" i="5"/>
  <c r="BI11" i="5"/>
  <c r="BL10" i="5"/>
  <c r="BK10" i="5"/>
  <c r="BJ10" i="5"/>
  <c r="BI10" i="5"/>
  <c r="BL9" i="5"/>
  <c r="BK9" i="5"/>
  <c r="BJ9" i="5"/>
  <c r="BI9" i="5"/>
  <c r="BL8" i="5"/>
  <c r="BK8" i="5"/>
  <c r="BJ8" i="5"/>
  <c r="BI8" i="5"/>
  <c r="BL7" i="5"/>
  <c r="BK7" i="5"/>
  <c r="BJ7" i="5"/>
  <c r="BI7" i="5"/>
  <c r="BL6" i="5"/>
  <c r="BK6" i="5"/>
  <c r="BJ6" i="5"/>
  <c r="BI6" i="5"/>
  <c r="BL5" i="5"/>
  <c r="BK5" i="5"/>
  <c r="BJ5" i="5"/>
  <c r="BI5" i="5"/>
  <c r="BL11" i="6"/>
  <c r="BK11" i="6"/>
  <c r="BJ11" i="6"/>
  <c r="BI11" i="6"/>
  <c r="BL10" i="6"/>
  <c r="BK10" i="6"/>
  <c r="BJ10" i="6"/>
  <c r="BI10" i="6"/>
  <c r="BL9" i="6"/>
  <c r="BK9" i="6"/>
  <c r="BJ9" i="6"/>
  <c r="BI9" i="6"/>
  <c r="BL8" i="6"/>
  <c r="BK8" i="6"/>
  <c r="BJ8" i="6"/>
  <c r="BI8" i="6"/>
  <c r="BL7" i="6"/>
  <c r="BK7" i="6"/>
  <c r="BJ7" i="6"/>
  <c r="BI7" i="6"/>
  <c r="BL6" i="6"/>
  <c r="BK6" i="6"/>
  <c r="BJ6" i="6"/>
  <c r="BI6" i="6"/>
  <c r="BL5" i="6"/>
  <c r="BK5" i="6"/>
  <c r="BJ5" i="6"/>
  <c r="BI5" i="6"/>
  <c r="BC46" i="7" l="1"/>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M38" i="7"/>
  <c r="L38" i="7"/>
  <c r="K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I35" i="7" s="1"/>
  <c r="AK35" i="7"/>
  <c r="AJ35" i="7"/>
  <c r="AH35" i="7"/>
  <c r="AG35" i="7"/>
  <c r="N35" i="7"/>
  <c r="K35" i="7" s="1"/>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K32" i="7"/>
  <c r="AJ32" i="7"/>
  <c r="AH32" i="7"/>
  <c r="AG32" i="7"/>
  <c r="N32" i="7"/>
  <c r="K32" i="7" s="1"/>
  <c r="M32" i="7"/>
  <c r="L32" i="7"/>
  <c r="J32" i="7"/>
  <c r="I32" i="7"/>
  <c r="BF31" i="7"/>
  <c r="AL31" i="7"/>
  <c r="AI31" i="7" s="1"/>
  <c r="AK31" i="7"/>
  <c r="AJ31" i="7"/>
  <c r="AH31" i="7"/>
  <c r="AG31" i="7"/>
  <c r="N31" i="7"/>
  <c r="M31" i="7"/>
  <c r="L31" i="7"/>
  <c r="K31" i="7"/>
  <c r="J31" i="7"/>
  <c r="I31" i="7"/>
  <c r="BF30" i="7"/>
  <c r="AL30" i="7"/>
  <c r="AK30" i="7"/>
  <c r="AJ30" i="7"/>
  <c r="AH30" i="7"/>
  <c r="AG30" i="7"/>
  <c r="N30" i="7"/>
  <c r="M30" i="7"/>
  <c r="L30" i="7"/>
  <c r="L42" i="7" s="1"/>
  <c r="J30" i="7"/>
  <c r="I30" i="7"/>
  <c r="BF29" i="7"/>
  <c r="AL29" i="7"/>
  <c r="AI29" i="7" s="1"/>
  <c r="AK29" i="7"/>
  <c r="AJ29" i="7"/>
  <c r="AH29" i="7"/>
  <c r="AG29" i="7"/>
  <c r="N29" i="7"/>
  <c r="K29" i="7" s="1"/>
  <c r="M29" i="7"/>
  <c r="L29" i="7"/>
  <c r="J29" i="7"/>
  <c r="I29" i="7"/>
  <c r="BF28" i="7"/>
  <c r="AL28" i="7"/>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F25" i="7"/>
  <c r="AL25" i="7"/>
  <c r="AK25" i="7"/>
  <c r="AJ25" i="7"/>
  <c r="AI25" i="7"/>
  <c r="AH25" i="7"/>
  <c r="AG25" i="7"/>
  <c r="N25" i="7"/>
  <c r="K25" i="7" s="1"/>
  <c r="M25" i="7"/>
  <c r="L25" i="7"/>
  <c r="J25" i="7"/>
  <c r="I25" i="7"/>
  <c r="BF24" i="7"/>
  <c r="AL24" i="7"/>
  <c r="AK24" i="7"/>
  <c r="AJ24" i="7"/>
  <c r="AH24" i="7"/>
  <c r="AG24" i="7"/>
  <c r="N24" i="7"/>
  <c r="K24" i="7" s="1"/>
  <c r="M24" i="7"/>
  <c r="L24" i="7"/>
  <c r="J24" i="7"/>
  <c r="I24" i="7"/>
  <c r="BF23" i="7"/>
  <c r="AL23" i="7"/>
  <c r="AI23" i="7" s="1"/>
  <c r="AK23" i="7"/>
  <c r="AJ23" i="7"/>
  <c r="AH23" i="7"/>
  <c r="AG23" i="7"/>
  <c r="N23" i="7"/>
  <c r="M23" i="7"/>
  <c r="L23" i="7"/>
  <c r="K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F20" i="7"/>
  <c r="AL20" i="7"/>
  <c r="AK20" i="7"/>
  <c r="AJ20" i="7"/>
  <c r="AH20" i="7"/>
  <c r="AG20" i="7"/>
  <c r="N20" i="7"/>
  <c r="M20" i="7"/>
  <c r="L20" i="7"/>
  <c r="J20" i="7"/>
  <c r="I20" i="7"/>
  <c r="BF19" i="7"/>
  <c r="AL19" i="7"/>
  <c r="AI19" i="7" s="1"/>
  <c r="AK19" i="7"/>
  <c r="AJ19" i="7"/>
  <c r="AH19" i="7"/>
  <c r="AG19" i="7"/>
  <c r="N19" i="7"/>
  <c r="K19" i="7" s="1"/>
  <c r="M19" i="7"/>
  <c r="L19" i="7"/>
  <c r="J19" i="7"/>
  <c r="I19" i="7"/>
  <c r="BF18" i="7"/>
  <c r="AL18" i="7"/>
  <c r="AK18" i="7"/>
  <c r="AJ18" i="7"/>
  <c r="AH18" i="7"/>
  <c r="AG18" i="7"/>
  <c r="N18" i="7"/>
  <c r="K18" i="7" s="1"/>
  <c r="M18" i="7"/>
  <c r="L18" i="7"/>
  <c r="J18" i="7"/>
  <c r="I18" i="7"/>
  <c r="BF17" i="7"/>
  <c r="AL17" i="7"/>
  <c r="AK17" i="7"/>
  <c r="AJ17" i="7"/>
  <c r="AI17" i="7"/>
  <c r="AH17" i="7"/>
  <c r="AG17" i="7"/>
  <c r="N17" i="7"/>
  <c r="K17" i="7" s="1"/>
  <c r="M17" i="7"/>
  <c r="L17" i="7"/>
  <c r="J17" i="7"/>
  <c r="I17" i="7"/>
  <c r="BF16" i="7"/>
  <c r="AL16" i="7"/>
  <c r="AK16" i="7"/>
  <c r="AJ16" i="7"/>
  <c r="AH16" i="7"/>
  <c r="AG16" i="7"/>
  <c r="N16" i="7"/>
  <c r="K16" i="7" s="1"/>
  <c r="M16" i="7"/>
  <c r="L16" i="7"/>
  <c r="J16" i="7"/>
  <c r="I16" i="7"/>
  <c r="BF15" i="7"/>
  <c r="AL15" i="7"/>
  <c r="AI15" i="7" s="1"/>
  <c r="AK15" i="7"/>
  <c r="AJ15" i="7"/>
  <c r="AH15" i="7"/>
  <c r="AG15" i="7"/>
  <c r="N15" i="7"/>
  <c r="M15" i="7"/>
  <c r="L15" i="7"/>
  <c r="K15" i="7"/>
  <c r="J15" i="7"/>
  <c r="I15" i="7"/>
  <c r="BF14" i="7"/>
  <c r="AL14" i="7"/>
  <c r="AK14" i="7"/>
  <c r="AJ14" i="7"/>
  <c r="AH14" i="7"/>
  <c r="AG14" i="7"/>
  <c r="N14" i="7"/>
  <c r="K14" i="7" s="1"/>
  <c r="M14" i="7"/>
  <c r="L14" i="7"/>
  <c r="J14" i="7"/>
  <c r="I14" i="7"/>
  <c r="BF13" i="7"/>
  <c r="AL13" i="7"/>
  <c r="AI13" i="7" s="1"/>
  <c r="AK13" i="7"/>
  <c r="AJ13" i="7"/>
  <c r="AH13" i="7"/>
  <c r="AG13" i="7"/>
  <c r="N13" i="7"/>
  <c r="K13" i="7" s="1"/>
  <c r="M13" i="7"/>
  <c r="L13" i="7"/>
  <c r="J13" i="7"/>
  <c r="I13" i="7"/>
  <c r="BF12" i="7"/>
  <c r="AL12" i="7"/>
  <c r="AK12" i="7"/>
  <c r="AJ12" i="7"/>
  <c r="AH12" i="7"/>
  <c r="AG12" i="7"/>
  <c r="N12" i="7"/>
  <c r="K12" i="7" s="1"/>
  <c r="M12" i="7"/>
  <c r="L12" i="7"/>
  <c r="J12" i="7"/>
  <c r="I12" i="7"/>
  <c r="BF11" i="7"/>
  <c r="AL11" i="7"/>
  <c r="AK11" i="7"/>
  <c r="AJ11" i="7"/>
  <c r="AI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K8" i="7"/>
  <c r="AJ8" i="7"/>
  <c r="AH8" i="7"/>
  <c r="AG8" i="7"/>
  <c r="N8" i="7"/>
  <c r="K8" i="7" s="1"/>
  <c r="M8" i="7"/>
  <c r="L8" i="7"/>
  <c r="J8" i="7"/>
  <c r="I8" i="7"/>
  <c r="BF7" i="7"/>
  <c r="AL7" i="7"/>
  <c r="AK7" i="7"/>
  <c r="AJ7" i="7"/>
  <c r="AI7" i="7"/>
  <c r="AH7" i="7"/>
  <c r="AG7" i="7"/>
  <c r="N7" i="7"/>
  <c r="M7" i="7"/>
  <c r="L7" i="7"/>
  <c r="K7" i="7"/>
  <c r="J7" i="7"/>
  <c r="I7" i="7"/>
  <c r="BF6" i="7"/>
  <c r="AL6" i="7"/>
  <c r="AK6" i="7"/>
  <c r="AJ6" i="7"/>
  <c r="AH6" i="7"/>
  <c r="AG6" i="7"/>
  <c r="N6" i="7"/>
  <c r="K6" i="7" s="1"/>
  <c r="M6" i="7"/>
  <c r="L6" i="7"/>
  <c r="J6" i="7"/>
  <c r="I6" i="7"/>
  <c r="BF5" i="7"/>
  <c r="AL5" i="7"/>
  <c r="AI5" i="7" s="1"/>
  <c r="AK5" i="7"/>
  <c r="AJ5" i="7"/>
  <c r="AH5" i="7"/>
  <c r="AG5" i="7"/>
  <c r="N5" i="7"/>
  <c r="K5" i="7" s="1"/>
  <c r="M5" i="7"/>
  <c r="L5" i="7"/>
  <c r="L43" i="7" s="1"/>
  <c r="J5" i="7"/>
  <c r="I5" i="7"/>
  <c r="AZ18" i="6"/>
  <c r="AY18" i="6"/>
  <c r="AX18" i="6"/>
  <c r="AW18" i="6"/>
  <c r="AC18" i="6"/>
  <c r="AB18" i="6"/>
  <c r="AA18" i="6"/>
  <c r="Z18" i="6"/>
  <c r="AZ16" i="6"/>
  <c r="AY16" i="6"/>
  <c r="AX16" i="6"/>
  <c r="AW16" i="6"/>
  <c r="AC16" i="6"/>
  <c r="AB16" i="6"/>
  <c r="AA16" i="6"/>
  <c r="Z16" i="6"/>
  <c r="AK11" i="6"/>
  <c r="AH11" i="6" s="1"/>
  <c r="AJ11" i="6"/>
  <c r="AI11" i="6"/>
  <c r="AG11" i="6"/>
  <c r="AF11" i="6"/>
  <c r="AE11" i="6"/>
  <c r="N11" i="6"/>
  <c r="K11" i="6" s="1"/>
  <c r="M11" i="6"/>
  <c r="L11" i="6"/>
  <c r="J11" i="6"/>
  <c r="I11" i="6"/>
  <c r="H11" i="6"/>
  <c r="AK10" i="6"/>
  <c r="AH10" i="6" s="1"/>
  <c r="AH14" i="6" s="1"/>
  <c r="AJ10" i="6"/>
  <c r="AI10" i="6"/>
  <c r="AI14" i="6" s="1"/>
  <c r="AG10" i="6"/>
  <c r="AG14" i="6" s="1"/>
  <c r="AF10" i="6"/>
  <c r="AE10" i="6"/>
  <c r="N10" i="6"/>
  <c r="M10" i="6"/>
  <c r="L10" i="6"/>
  <c r="J10" i="6"/>
  <c r="J14" i="6" s="1"/>
  <c r="I10" i="6"/>
  <c r="H10" i="6"/>
  <c r="AK9" i="6"/>
  <c r="AJ9" i="6"/>
  <c r="AJ13" i="6" s="1"/>
  <c r="AI9" i="6"/>
  <c r="AI13" i="6" s="1"/>
  <c r="AG9" i="6"/>
  <c r="AG13" i="6" s="1"/>
  <c r="AF9" i="6"/>
  <c r="AE9" i="6"/>
  <c r="N9" i="6"/>
  <c r="K9" i="6" s="1"/>
  <c r="K13" i="6" s="1"/>
  <c r="M9" i="6"/>
  <c r="M13" i="6" s="1"/>
  <c r="L9" i="6"/>
  <c r="L13" i="6" s="1"/>
  <c r="J9" i="6"/>
  <c r="J13" i="6" s="1"/>
  <c r="I9" i="6"/>
  <c r="H9" i="6"/>
  <c r="AK8" i="6"/>
  <c r="BG8" i="6" s="1" a="1"/>
  <c r="AJ8" i="6"/>
  <c r="BE8" i="6" s="1"/>
  <c r="AI8" i="6"/>
  <c r="AG8" i="6"/>
  <c r="AF8" i="6"/>
  <c r="AE8" i="6"/>
  <c r="N8" i="6"/>
  <c r="K8" i="6" s="1"/>
  <c r="M8" i="6"/>
  <c r="L8" i="6"/>
  <c r="BD8" i="6" s="1"/>
  <c r="J8" i="6"/>
  <c r="I8" i="6"/>
  <c r="H8" i="6"/>
  <c r="AK7" i="6"/>
  <c r="AH7" i="6" s="1"/>
  <c r="AJ7" i="6"/>
  <c r="AI7" i="6"/>
  <c r="AG7" i="6"/>
  <c r="AF7" i="6"/>
  <c r="AE7" i="6"/>
  <c r="N7" i="6"/>
  <c r="K7" i="6" s="1"/>
  <c r="M7" i="6"/>
  <c r="L7" i="6"/>
  <c r="BD7" i="6" s="1"/>
  <c r="J7" i="6"/>
  <c r="I7" i="6"/>
  <c r="H7" i="6"/>
  <c r="AK6" i="6"/>
  <c r="AJ6" i="6"/>
  <c r="AI6" i="6"/>
  <c r="AG6" i="6"/>
  <c r="AF6" i="6"/>
  <c r="AE6" i="6"/>
  <c r="N6" i="6"/>
  <c r="M6" i="6"/>
  <c r="BE6" i="6" s="1"/>
  <c r="L6" i="6"/>
  <c r="K6" i="6"/>
  <c r="J6" i="6"/>
  <c r="I6" i="6"/>
  <c r="H6" i="6"/>
  <c r="BG5" i="6" a="1"/>
  <c r="AK5" i="6"/>
  <c r="AH5" i="6" s="1"/>
  <c r="AJ5" i="6"/>
  <c r="AI5" i="6"/>
  <c r="AI15" i="6" s="1"/>
  <c r="AG5" i="6"/>
  <c r="AF5" i="6"/>
  <c r="AE5" i="6"/>
  <c r="N5" i="6"/>
  <c r="K5" i="6" s="1"/>
  <c r="M5" i="6"/>
  <c r="L5" i="6"/>
  <c r="J5" i="6"/>
  <c r="I5" i="6"/>
  <c r="H5" i="6"/>
  <c r="AZ18" i="5"/>
  <c r="AY18" i="5"/>
  <c r="AX18" i="5"/>
  <c r="AW18" i="5"/>
  <c r="AC18" i="5"/>
  <c r="AB18" i="5"/>
  <c r="AA18" i="5"/>
  <c r="Z18" i="5"/>
  <c r="AZ16" i="5"/>
  <c r="AY16" i="5"/>
  <c r="AX16" i="5"/>
  <c r="AW16" i="5"/>
  <c r="AC16" i="5"/>
  <c r="AB16" i="5"/>
  <c r="AA16" i="5"/>
  <c r="Z16" i="5"/>
  <c r="AJ13" i="5"/>
  <c r="AK11" i="5"/>
  <c r="AJ11" i="5"/>
  <c r="AI11" i="5"/>
  <c r="AG11" i="5"/>
  <c r="AF11" i="5"/>
  <c r="AE11" i="5"/>
  <c r="N11" i="5"/>
  <c r="K11" i="5" s="1"/>
  <c r="M11" i="5"/>
  <c r="BE11" i="5" s="1"/>
  <c r="L11" i="5"/>
  <c r="J11" i="5"/>
  <c r="I11" i="5"/>
  <c r="H11" i="5"/>
  <c r="AK10" i="5"/>
  <c r="AJ10" i="5"/>
  <c r="AI10" i="5"/>
  <c r="AH10" i="5"/>
  <c r="AG10" i="5"/>
  <c r="AG14" i="5" s="1"/>
  <c r="AF10" i="5"/>
  <c r="AE10" i="5"/>
  <c r="N10" i="5"/>
  <c r="K10" i="5" s="1"/>
  <c r="M10" i="5"/>
  <c r="M14" i="5" s="1"/>
  <c r="L10" i="5"/>
  <c r="J10" i="5"/>
  <c r="BB10" i="5" s="1"/>
  <c r="I10" i="5"/>
  <c r="H10" i="5"/>
  <c r="AK9" i="5"/>
  <c r="AJ9" i="5"/>
  <c r="AI9" i="5"/>
  <c r="AG9" i="5"/>
  <c r="AF9" i="5"/>
  <c r="AE9" i="5"/>
  <c r="N9" i="5"/>
  <c r="K9" i="5" s="1"/>
  <c r="K13" i="5" s="1"/>
  <c r="M9" i="5"/>
  <c r="L9" i="5"/>
  <c r="L13" i="5" s="1"/>
  <c r="J9" i="5"/>
  <c r="J13" i="5" s="1"/>
  <c r="I9" i="5"/>
  <c r="H9" i="5"/>
  <c r="BG8" i="5" a="1"/>
  <c r="AK8" i="5"/>
  <c r="AH8" i="5" s="1"/>
  <c r="AJ8" i="5"/>
  <c r="AI8" i="5"/>
  <c r="AG8" i="5"/>
  <c r="AF8" i="5"/>
  <c r="AE8" i="5"/>
  <c r="N8" i="5"/>
  <c r="K8" i="5" s="1"/>
  <c r="M8" i="5"/>
  <c r="L8" i="5"/>
  <c r="BD8" i="5" s="1"/>
  <c r="J8" i="5"/>
  <c r="I8" i="5"/>
  <c r="H8" i="5"/>
  <c r="AK7" i="5"/>
  <c r="AJ7" i="5"/>
  <c r="AI7" i="5"/>
  <c r="AG7" i="5"/>
  <c r="AF7" i="5"/>
  <c r="AE7" i="5"/>
  <c r="N7" i="5"/>
  <c r="K7" i="5" s="1"/>
  <c r="M7" i="5"/>
  <c r="BE7" i="5" s="1"/>
  <c r="L7" i="5"/>
  <c r="J7" i="5"/>
  <c r="I7" i="5"/>
  <c r="H7" i="5"/>
  <c r="AK6" i="5"/>
  <c r="AH6" i="5" s="1"/>
  <c r="AJ6" i="5"/>
  <c r="AI6" i="5"/>
  <c r="AG6" i="5"/>
  <c r="AF6" i="5"/>
  <c r="AE6" i="5"/>
  <c r="N6" i="5"/>
  <c r="K6" i="5" s="1"/>
  <c r="M6" i="5"/>
  <c r="L6" i="5"/>
  <c r="J6" i="5"/>
  <c r="I6" i="5"/>
  <c r="H6" i="5"/>
  <c r="AK5" i="5"/>
  <c r="AJ5" i="5"/>
  <c r="AJ12" i="5" s="1"/>
  <c r="AI5" i="5"/>
  <c r="AG5" i="5"/>
  <c r="AF5" i="5"/>
  <c r="AE5" i="5"/>
  <c r="N5" i="5"/>
  <c r="K5" i="5" s="1"/>
  <c r="M5" i="5"/>
  <c r="L5" i="5"/>
  <c r="J5" i="5"/>
  <c r="I5" i="5"/>
  <c r="H5" i="5"/>
  <c r="BC46" i="3"/>
  <c r="BB46" i="3"/>
  <c r="BA46" i="3"/>
  <c r="AZ46" i="3"/>
  <c r="AE46" i="3"/>
  <c r="BC47" i="3" s="1"/>
  <c r="AD46" i="3"/>
  <c r="AC46" i="3"/>
  <c r="AB46" i="3"/>
  <c r="BC44" i="3"/>
  <c r="BB44" i="3"/>
  <c r="BA44" i="3"/>
  <c r="AZ44" i="3"/>
  <c r="AE44" i="3"/>
  <c r="AD44" i="3"/>
  <c r="AC44" i="3"/>
  <c r="AB44" i="3"/>
  <c r="BF39" i="3"/>
  <c r="AL39" i="3"/>
  <c r="AK39" i="3"/>
  <c r="AJ39" i="3"/>
  <c r="AH39" i="3"/>
  <c r="AG39" i="3"/>
  <c r="N39" i="3"/>
  <c r="K39" i="3" s="1"/>
  <c r="M39" i="3"/>
  <c r="L39" i="3"/>
  <c r="J39" i="3"/>
  <c r="I39" i="3"/>
  <c r="BF38" i="3"/>
  <c r="AL38" i="3"/>
  <c r="AI38" i="3" s="1"/>
  <c r="AK38" i="3"/>
  <c r="AJ38" i="3"/>
  <c r="AH38" i="3"/>
  <c r="AG38" i="3"/>
  <c r="N38" i="3"/>
  <c r="M38" i="3"/>
  <c r="L38" i="3"/>
  <c r="K38" i="3"/>
  <c r="J38" i="3"/>
  <c r="I38" i="3"/>
  <c r="BF37" i="3"/>
  <c r="AL37" i="3"/>
  <c r="AI37" i="3" s="1"/>
  <c r="BE37" i="3" s="1"/>
  <c r="AK37" i="3"/>
  <c r="AJ37" i="3"/>
  <c r="AH37" i="3"/>
  <c r="AG37" i="3"/>
  <c r="N37" i="3"/>
  <c r="K37" i="3" s="1"/>
  <c r="M37" i="3"/>
  <c r="L37" i="3"/>
  <c r="J37" i="3"/>
  <c r="I37" i="3"/>
  <c r="BF36" i="3"/>
  <c r="AL36" i="3"/>
  <c r="AI36" i="3" s="1"/>
  <c r="AK36" i="3"/>
  <c r="AJ36" i="3"/>
  <c r="AH36" i="3"/>
  <c r="AG36" i="3"/>
  <c r="N36" i="3"/>
  <c r="M36" i="3"/>
  <c r="L36" i="3"/>
  <c r="K36" i="3"/>
  <c r="J36" i="3"/>
  <c r="I36" i="3"/>
  <c r="BF35" i="3"/>
  <c r="AL35" i="3"/>
  <c r="BG35" i="3" s="1"/>
  <c r="AK35" i="3"/>
  <c r="AJ35" i="3"/>
  <c r="AH35" i="3"/>
  <c r="AG35" i="3"/>
  <c r="N35" i="3"/>
  <c r="M35" i="3"/>
  <c r="L35" i="3"/>
  <c r="J35" i="3"/>
  <c r="I35" i="3"/>
  <c r="BF34" i="3"/>
  <c r="AL34" i="3"/>
  <c r="AI34" i="3" s="1"/>
  <c r="BE34" i="3" s="1"/>
  <c r="AK34" i="3"/>
  <c r="AJ34" i="3"/>
  <c r="AH34" i="3"/>
  <c r="AG34" i="3"/>
  <c r="N34" i="3"/>
  <c r="M34" i="3"/>
  <c r="L34" i="3"/>
  <c r="K34" i="3"/>
  <c r="J34" i="3"/>
  <c r="I34" i="3"/>
  <c r="BF33" i="3"/>
  <c r="AL33" i="3"/>
  <c r="AI33" i="3" s="1"/>
  <c r="BE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H30" i="3" a="1"/>
  <c r="BF30" i="3"/>
  <c r="AL30" i="3"/>
  <c r="AI30" i="3" s="1"/>
  <c r="AK30" i="3"/>
  <c r="AK42" i="3" s="1"/>
  <c r="AJ30" i="3"/>
  <c r="AH30" i="3"/>
  <c r="AG30" i="3"/>
  <c r="N30" i="3"/>
  <c r="M30" i="3"/>
  <c r="L30" i="3"/>
  <c r="K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BH25" i="3" s="1" a="1"/>
  <c r="AK25" i="3"/>
  <c r="AJ25" i="3"/>
  <c r="AJ41" i="3" s="1"/>
  <c r="AH25" i="3"/>
  <c r="AG25" i="3"/>
  <c r="N25" i="3"/>
  <c r="M25" i="3"/>
  <c r="M41" i="3" s="1"/>
  <c r="L25" i="3"/>
  <c r="J25" i="3"/>
  <c r="J41" i="3" s="1"/>
  <c r="I25" i="3"/>
  <c r="BF24" i="3"/>
  <c r="AL24" i="3"/>
  <c r="AK24" i="3"/>
  <c r="AJ24" i="3"/>
  <c r="AI24" i="3"/>
  <c r="AH24" i="3"/>
  <c r="AG24" i="3"/>
  <c r="N24" i="3"/>
  <c r="K24" i="3" s="1"/>
  <c r="M24" i="3"/>
  <c r="L24" i="3"/>
  <c r="J24" i="3"/>
  <c r="I24" i="3"/>
  <c r="BF23" i="3"/>
  <c r="AL23" i="3"/>
  <c r="AK23" i="3"/>
  <c r="AJ23" i="3"/>
  <c r="AH23" i="3"/>
  <c r="AG23" i="3"/>
  <c r="N23" i="3"/>
  <c r="K23" i="3" s="1"/>
  <c r="M23" i="3"/>
  <c r="L23" i="3"/>
  <c r="J23" i="3"/>
  <c r="I23" i="3"/>
  <c r="BF22" i="3"/>
  <c r="AL22" i="3"/>
  <c r="AI22" i="3" s="1"/>
  <c r="AK22" i="3"/>
  <c r="AJ22" i="3"/>
  <c r="AH22" i="3"/>
  <c r="AG22" i="3"/>
  <c r="N22" i="3"/>
  <c r="M22" i="3"/>
  <c r="L22" i="3"/>
  <c r="K22" i="3"/>
  <c r="J22" i="3"/>
  <c r="I22" i="3"/>
  <c r="BF21" i="3"/>
  <c r="AL21" i="3"/>
  <c r="AI21" i="3" s="1"/>
  <c r="AK21" i="3"/>
  <c r="AJ21" i="3"/>
  <c r="AH21" i="3"/>
  <c r="AG21" i="3"/>
  <c r="N21" i="3"/>
  <c r="K21" i="3" s="1"/>
  <c r="M21" i="3"/>
  <c r="L21" i="3"/>
  <c r="J21" i="3"/>
  <c r="I21" i="3"/>
  <c r="BH20" i="3" a="1"/>
  <c r="BH20" i="3" s="1"/>
  <c r="BF20" i="3"/>
  <c r="AL20" i="3"/>
  <c r="AI20" i="3" s="1"/>
  <c r="AK20" i="3"/>
  <c r="AJ20" i="3"/>
  <c r="AH20" i="3"/>
  <c r="AG20" i="3"/>
  <c r="N20" i="3"/>
  <c r="BG20" i="3" s="1"/>
  <c r="M20" i="3"/>
  <c r="L20" i="3"/>
  <c r="K20" i="3"/>
  <c r="J20" i="3"/>
  <c r="I20" i="3"/>
  <c r="BF19" i="3"/>
  <c r="AL19" i="3"/>
  <c r="BG19" i="3" s="1"/>
  <c r="AK19" i="3"/>
  <c r="AJ19" i="3"/>
  <c r="AH19" i="3"/>
  <c r="AG19" i="3"/>
  <c r="N19" i="3"/>
  <c r="K19" i="3" s="1"/>
  <c r="M19" i="3"/>
  <c r="L19" i="3"/>
  <c r="J19" i="3"/>
  <c r="I19" i="3"/>
  <c r="BF18" i="3"/>
  <c r="AL18" i="3"/>
  <c r="AK18" i="3"/>
  <c r="AJ18" i="3"/>
  <c r="AI18" i="3"/>
  <c r="AH18" i="3"/>
  <c r="AG18" i="3"/>
  <c r="N18" i="3"/>
  <c r="K18" i="3" s="1"/>
  <c r="M18" i="3"/>
  <c r="L18" i="3"/>
  <c r="J18" i="3"/>
  <c r="I18" i="3"/>
  <c r="BF17" i="3"/>
  <c r="AL17" i="3"/>
  <c r="AI17" i="3" s="1"/>
  <c r="AK17" i="3"/>
  <c r="AJ17" i="3"/>
  <c r="AH17" i="3"/>
  <c r="AG17" i="3"/>
  <c r="N17" i="3"/>
  <c r="K17" i="3" s="1"/>
  <c r="M17" i="3"/>
  <c r="L17" i="3"/>
  <c r="J17" i="3"/>
  <c r="I17" i="3"/>
  <c r="BF16" i="3"/>
  <c r="AL16" i="3"/>
  <c r="AK16" i="3"/>
  <c r="AJ16" i="3"/>
  <c r="AI16" i="3"/>
  <c r="AH16" i="3"/>
  <c r="AG16" i="3"/>
  <c r="N16" i="3"/>
  <c r="M16" i="3"/>
  <c r="L16" i="3"/>
  <c r="K16" i="3"/>
  <c r="J16" i="3"/>
  <c r="I16" i="3"/>
  <c r="BF15" i="3"/>
  <c r="AL15" i="3"/>
  <c r="BG15" i="3" s="1"/>
  <c r="AK15" i="3"/>
  <c r="AJ15" i="3"/>
  <c r="AH15" i="3"/>
  <c r="AG15" i="3"/>
  <c r="N15" i="3"/>
  <c r="M15" i="3"/>
  <c r="L15" i="3"/>
  <c r="J15" i="3"/>
  <c r="I15" i="3"/>
  <c r="BF14" i="3"/>
  <c r="AL14" i="3"/>
  <c r="AK14" i="3"/>
  <c r="AJ14" i="3"/>
  <c r="AI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M12" i="3"/>
  <c r="L12" i="3"/>
  <c r="K12" i="3"/>
  <c r="J12" i="3"/>
  <c r="I12" i="3"/>
  <c r="BF11" i="3"/>
  <c r="AL11" i="3"/>
  <c r="BG11" i="3" s="1"/>
  <c r="AK11" i="3"/>
  <c r="AJ11" i="3"/>
  <c r="AH11" i="3"/>
  <c r="AG11" i="3"/>
  <c r="N11" i="3"/>
  <c r="K11" i="3" s="1"/>
  <c r="M11" i="3"/>
  <c r="L11" i="3"/>
  <c r="J11" i="3"/>
  <c r="I11" i="3"/>
  <c r="BH10" i="3" a="1"/>
  <c r="BF10" i="3"/>
  <c r="AL10" i="3"/>
  <c r="AI10" i="3" s="1"/>
  <c r="AK10" i="3"/>
  <c r="AJ10" i="3"/>
  <c r="AH10" i="3"/>
  <c r="AG10" i="3"/>
  <c r="N10" i="3"/>
  <c r="M10" i="3"/>
  <c r="L10" i="3"/>
  <c r="K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K7" i="3"/>
  <c r="AJ7" i="3"/>
  <c r="AH7" i="3"/>
  <c r="AG7" i="3"/>
  <c r="N7" i="3"/>
  <c r="K7" i="3" s="1"/>
  <c r="M7" i="3"/>
  <c r="L7" i="3"/>
  <c r="J7" i="3"/>
  <c r="I7" i="3"/>
  <c r="BF6" i="3"/>
  <c r="AL6" i="3"/>
  <c r="AI6" i="3" s="1"/>
  <c r="BE6" i="3" s="1"/>
  <c r="AK6" i="3"/>
  <c r="AJ6" i="3"/>
  <c r="AH6" i="3"/>
  <c r="AG6" i="3"/>
  <c r="N6" i="3"/>
  <c r="M6" i="3"/>
  <c r="L6" i="3"/>
  <c r="K6" i="3"/>
  <c r="J6" i="3"/>
  <c r="I6" i="3"/>
  <c r="BF5" i="3"/>
  <c r="AL5" i="3"/>
  <c r="AK5" i="3"/>
  <c r="AJ5" i="3"/>
  <c r="AH5" i="3"/>
  <c r="AG5" i="3"/>
  <c r="N5" i="3"/>
  <c r="M5" i="3"/>
  <c r="L5" i="3"/>
  <c r="J5" i="3"/>
  <c r="I5" i="3"/>
  <c r="B2" i="2"/>
  <c r="B1" i="2"/>
  <c r="BT25" i="7"/>
  <c r="BM5" i="7"/>
  <c r="BM10" i="7"/>
  <c r="BL35" i="7"/>
  <c r="BP5" i="7"/>
  <c r="BN5" i="7"/>
  <c r="BL10" i="7"/>
  <c r="BQ5" i="7"/>
  <c r="BP30" i="7"/>
  <c r="BK5" i="7"/>
  <c r="BJ35" i="7"/>
  <c r="BL15" i="7"/>
  <c r="BJ15" i="7"/>
  <c r="BN15" i="7"/>
  <c r="BS10" i="7"/>
  <c r="BR15" i="7"/>
  <c r="BR20" i="7"/>
  <c r="BP15" i="7"/>
  <c r="BT20" i="7"/>
  <c r="BT30" i="7"/>
  <c r="BQ15" i="7"/>
  <c r="BK15" i="7"/>
  <c r="BQ20" i="7"/>
  <c r="BT10" i="7"/>
  <c r="BL20" i="7"/>
  <c r="BT5" i="7"/>
  <c r="BP10" i="7"/>
  <c r="BN10" i="7"/>
  <c r="BJ25" i="7"/>
  <c r="BT15" i="7"/>
  <c r="BR30" i="7"/>
  <c r="BN35" i="7"/>
  <c r="BM25" i="7"/>
  <c r="BM30" i="7"/>
  <c r="BQ10" i="7"/>
  <c r="BN25" i="7"/>
  <c r="BT35" i="7"/>
  <c r="BR35" i="7"/>
  <c r="BQ25" i="7"/>
  <c r="BQ30" i="7"/>
  <c r="BP35" i="7"/>
  <c r="BR25" i="7"/>
  <c r="BP20" i="7"/>
  <c r="BR5" i="7"/>
  <c r="BR10" i="7"/>
  <c r="BL5" i="7"/>
  <c r="BS5" i="7"/>
  <c r="BJ5" i="7"/>
  <c r="BS30" i="7"/>
  <c r="BP25" i="7"/>
  <c r="BS25" i="7"/>
  <c r="BN20" i="7"/>
  <c r="BN30" i="7"/>
  <c r="BM35" i="7"/>
  <c r="BM15" i="7"/>
  <c r="BM20" i="7"/>
  <c r="BS35" i="7"/>
  <c r="BL25" i="7"/>
  <c r="BQ35" i="7"/>
  <c r="BL30" i="7"/>
  <c r="BS15" i="7"/>
  <c r="BS20" i="7"/>
  <c r="BK25" i="7"/>
  <c r="BK35" i="7"/>
  <c r="BS35" i="3"/>
  <c r="BN10" i="3"/>
  <c r="BT35" i="3"/>
  <c r="BR5" i="3"/>
  <c r="BM35" i="3"/>
  <c r="BP20" i="3"/>
  <c r="BM10" i="3"/>
  <c r="BJ10" i="3"/>
  <c r="BK25" i="3"/>
  <c r="BK35" i="3"/>
  <c r="BR15" i="3"/>
  <c r="BQ5" i="3"/>
  <c r="BM15" i="3"/>
  <c r="BK10" i="3"/>
  <c r="BN15" i="3"/>
  <c r="BM30" i="3"/>
  <c r="BL5" i="3"/>
  <c r="BP5" i="3"/>
  <c r="BN20" i="3"/>
  <c r="BQ15" i="3"/>
  <c r="BP30" i="3"/>
  <c r="BT30" i="3"/>
  <c r="BS5" i="3"/>
  <c r="BP15" i="3"/>
  <c r="BN30" i="3"/>
  <c r="BM20" i="3"/>
  <c r="BS25" i="3"/>
  <c r="BN5" i="3"/>
  <c r="BR10" i="3"/>
  <c r="BR25" i="3"/>
  <c r="BT20" i="3"/>
  <c r="BT15" i="3"/>
  <c r="BR20" i="3"/>
  <c r="BR35" i="3"/>
  <c r="BN25" i="3"/>
  <c r="BL15" i="3"/>
  <c r="BL20" i="3"/>
  <c r="BT25" i="3"/>
  <c r="BR30" i="3"/>
  <c r="BQ25" i="3"/>
  <c r="BP10" i="3"/>
  <c r="BS15" i="3"/>
  <c r="BL25" i="3"/>
  <c r="BS30" i="3"/>
  <c r="BS10" i="3"/>
  <c r="BT5" i="3"/>
  <c r="BQ30" i="3"/>
  <c r="BM25" i="3"/>
  <c r="BJ30" i="3"/>
  <c r="BL35" i="3"/>
  <c r="BK15" i="3"/>
  <c r="BL10" i="3"/>
  <c r="BK30" i="3"/>
  <c r="BT10" i="3"/>
  <c r="BM5" i="3"/>
  <c r="BL30" i="3"/>
  <c r="BS20" i="3"/>
  <c r="BN35" i="3"/>
  <c r="BP25" i="3"/>
  <c r="BQ35" i="3"/>
  <c r="BK20" i="3"/>
  <c r="BQ10" i="3"/>
  <c r="BJ20" i="3"/>
  <c r="BP35" i="3"/>
  <c r="BQ20" i="3"/>
  <c r="BG23" i="7" l="1"/>
  <c r="BG36" i="7"/>
  <c r="BG38" i="7"/>
  <c r="BG15" i="7"/>
  <c r="AH42" i="7"/>
  <c r="BG10" i="3"/>
  <c r="BG16" i="3"/>
  <c r="BG22" i="3"/>
  <c r="BB6" i="5"/>
  <c r="BD7" i="5"/>
  <c r="M12" i="5"/>
  <c r="BD11" i="5"/>
  <c r="BB7" i="6"/>
  <c r="BF10" i="6"/>
  <c r="BB11" i="6"/>
  <c r="BB8" i="5"/>
  <c r="BD10" i="5"/>
  <c r="BE9" i="5"/>
  <c r="AH43" i="7"/>
  <c r="AJ42" i="7"/>
  <c r="AH41" i="7"/>
  <c r="BG31" i="7"/>
  <c r="BG7" i="7"/>
  <c r="AK41" i="3"/>
  <c r="BH10" i="3"/>
  <c r="BH25" i="3"/>
  <c r="BH41" i="3" s="1"/>
  <c r="AK40" i="3"/>
  <c r="BG6" i="3"/>
  <c r="BG12" i="3"/>
  <c r="AH41" i="3"/>
  <c r="BG30" i="3"/>
  <c r="BH30" i="3"/>
  <c r="BG34" i="3"/>
  <c r="BG36" i="3"/>
  <c r="BG38" i="3"/>
  <c r="BG9" i="7"/>
  <c r="BE11" i="7"/>
  <c r="BG17" i="7"/>
  <c r="BE19" i="7"/>
  <c r="BG25" i="7"/>
  <c r="BE27" i="7"/>
  <c r="BG33" i="7"/>
  <c r="BE35" i="7"/>
  <c r="AZ45" i="7"/>
  <c r="AZ47" i="7"/>
  <c r="C47" i="1" s="1"/>
  <c r="BG11" i="7"/>
  <c r="BE13" i="7"/>
  <c r="BG19" i="7"/>
  <c r="BE21" i="7"/>
  <c r="BG27" i="7"/>
  <c r="BE29" i="7"/>
  <c r="BG35" i="7"/>
  <c r="K36" i="7"/>
  <c r="BA45" i="7"/>
  <c r="BA47" i="7"/>
  <c r="BG5" i="7"/>
  <c r="BE7" i="7"/>
  <c r="BG13" i="7"/>
  <c r="BE15" i="7"/>
  <c r="BG21" i="7"/>
  <c r="BE23" i="7"/>
  <c r="L41" i="7"/>
  <c r="BG29" i="7"/>
  <c r="M42" i="7"/>
  <c r="BE31" i="7"/>
  <c r="BH35" i="7"/>
  <c r="BG39" i="7"/>
  <c r="BB45" i="7"/>
  <c r="BB47" i="7"/>
  <c r="C48" i="1" s="1"/>
  <c r="BE9" i="7"/>
  <c r="BE17" i="7"/>
  <c r="M41" i="7"/>
  <c r="BE33" i="7"/>
  <c r="BE36" i="7"/>
  <c r="BE38" i="7"/>
  <c r="BC45" i="7"/>
  <c r="BC47" i="7"/>
  <c r="BE12" i="3"/>
  <c r="BG18" i="3"/>
  <c r="BE20" i="3"/>
  <c r="BG24" i="3"/>
  <c r="BE26" i="3"/>
  <c r="BE32" i="3"/>
  <c r="AZ45" i="3"/>
  <c r="AZ47" i="3"/>
  <c r="C13" i="1" s="1"/>
  <c r="BE8" i="3"/>
  <c r="BE14" i="3"/>
  <c r="BE17" i="3"/>
  <c r="BG23" i="3"/>
  <c r="BG26" i="3"/>
  <c r="BE28" i="3"/>
  <c r="BG32" i="3"/>
  <c r="BA45" i="3"/>
  <c r="BA47" i="3"/>
  <c r="BG8" i="3"/>
  <c r="BE10" i="3"/>
  <c r="BG14" i="3"/>
  <c r="BE16" i="3"/>
  <c r="BE22" i="3"/>
  <c r="BG28" i="3"/>
  <c r="M42" i="3"/>
  <c r="BG31" i="3"/>
  <c r="BE36" i="3"/>
  <c r="BG39" i="3"/>
  <c r="BB45" i="3"/>
  <c r="BB47" i="3"/>
  <c r="C14" i="1" s="1"/>
  <c r="BE13" i="3"/>
  <c r="BE18" i="3"/>
  <c r="BE24" i="3"/>
  <c r="L41" i="3"/>
  <c r="BG27" i="3"/>
  <c r="BE38" i="3"/>
  <c r="BC45" i="3"/>
  <c r="J15" i="5"/>
  <c r="BG8" i="5"/>
  <c r="J14" i="5"/>
  <c r="BB14" i="5" s="1"/>
  <c r="E21" i="1" s="1"/>
  <c r="BF10" i="5"/>
  <c r="AZ17" i="5"/>
  <c r="AZ19" i="5"/>
  <c r="AY19" i="5"/>
  <c r="C24" i="1" s="1"/>
  <c r="J12" i="5"/>
  <c r="BE8" i="5"/>
  <c r="AW17" i="5"/>
  <c r="AW19" i="5"/>
  <c r="C23" i="1" s="1"/>
  <c r="K14" i="5"/>
  <c r="AY17" i="5"/>
  <c r="L12" i="5"/>
  <c r="BE6" i="5"/>
  <c r="BB7" i="5"/>
  <c r="BB11" i="5"/>
  <c r="AX17" i="5"/>
  <c r="AX19" i="5"/>
  <c r="J12" i="6"/>
  <c r="BF6" i="6"/>
  <c r="BE7" i="6"/>
  <c r="AW17" i="6"/>
  <c r="BB6" i="6"/>
  <c r="BG8" i="6"/>
  <c r="BB9" i="6"/>
  <c r="AW19" i="6"/>
  <c r="C35" i="1" s="1"/>
  <c r="M14" i="6"/>
  <c r="BB13" i="6"/>
  <c r="E32" i="1" s="1"/>
  <c r="AX17" i="6"/>
  <c r="AX19" i="6"/>
  <c r="BB8" i="6"/>
  <c r="BE9" i="6"/>
  <c r="BE11" i="6"/>
  <c r="AY17" i="6"/>
  <c r="AY19" i="6"/>
  <c r="C36" i="1" s="1"/>
  <c r="BG5" i="6"/>
  <c r="L14" i="6"/>
  <c r="BD14" i="6" s="1"/>
  <c r="BE10" i="6"/>
  <c r="BD11" i="6"/>
  <c r="AZ17" i="6"/>
  <c r="AZ19" i="6"/>
  <c r="BL42" i="3"/>
  <c r="E11" i="1" s="1"/>
  <c r="BT41" i="7"/>
  <c r="L44" i="1" s="1"/>
  <c r="BM43" i="3"/>
  <c r="F12" i="1" s="1"/>
  <c r="BR43" i="3"/>
  <c r="J12" i="1" s="1"/>
  <c r="BP41" i="3"/>
  <c r="H10" i="1" s="1"/>
  <c r="BT41" i="3"/>
  <c r="L10" i="1" s="1"/>
  <c r="BM42" i="3"/>
  <c r="F11" i="1" s="1"/>
  <c r="BR42" i="3"/>
  <c r="J11" i="1" s="1"/>
  <c r="BL43" i="7"/>
  <c r="E46" i="1" s="1"/>
  <c r="BQ43" i="7"/>
  <c r="I46" i="1" s="1"/>
  <c r="BL41" i="7"/>
  <c r="E44" i="1" s="1"/>
  <c r="BQ41" i="7"/>
  <c r="I44" i="1" s="1"/>
  <c r="BP42" i="7"/>
  <c r="H45" i="1" s="1"/>
  <c r="BT42" i="7"/>
  <c r="L45" i="1" s="1"/>
  <c r="BS41" i="3"/>
  <c r="K10" i="1" s="1"/>
  <c r="BQ42" i="3"/>
  <c r="I11" i="1" s="1"/>
  <c r="BK41" i="7"/>
  <c r="D44" i="1" s="1"/>
  <c r="BN42" i="7"/>
  <c r="G45" i="1" s="1"/>
  <c r="BL41" i="3"/>
  <c r="E10" i="1" s="1"/>
  <c r="BQ41" i="3"/>
  <c r="I10" i="1" s="1"/>
  <c r="BN42" i="3"/>
  <c r="G11" i="1" s="1"/>
  <c r="BS42" i="3"/>
  <c r="K11" i="1" s="1"/>
  <c r="BM41" i="7"/>
  <c r="F44" i="1" s="1"/>
  <c r="BR41" i="7"/>
  <c r="J44" i="1" s="1"/>
  <c r="BL42" i="7"/>
  <c r="E45" i="1" s="1"/>
  <c r="BQ42" i="7"/>
  <c r="I45" i="1" s="1"/>
  <c r="BN41" i="3"/>
  <c r="G10" i="1" s="1"/>
  <c r="BP41" i="7"/>
  <c r="H44" i="1" s="1"/>
  <c r="BS42" i="7"/>
  <c r="K45" i="1" s="1"/>
  <c r="BP40" i="3"/>
  <c r="H9" i="1" s="1"/>
  <c r="BT40" i="3"/>
  <c r="L9" i="1" s="1"/>
  <c r="BK41" i="3"/>
  <c r="D10" i="1" s="1"/>
  <c r="BM41" i="3"/>
  <c r="F10" i="1" s="1"/>
  <c r="BR41" i="3"/>
  <c r="J10" i="1" s="1"/>
  <c r="BK42" i="3"/>
  <c r="D11" i="1" s="1"/>
  <c r="BP42" i="3"/>
  <c r="H11" i="1" s="1"/>
  <c r="BT42" i="3"/>
  <c r="L11" i="1" s="1"/>
  <c r="BN43" i="7"/>
  <c r="G46" i="1" s="1"/>
  <c r="BS43" i="7"/>
  <c r="K46" i="1" s="1"/>
  <c r="BJ41" i="7"/>
  <c r="C44" i="1" s="1"/>
  <c r="BN41" i="7"/>
  <c r="G44" i="1" s="1"/>
  <c r="BS41" i="7"/>
  <c r="K44" i="1" s="1"/>
  <c r="BM42" i="7"/>
  <c r="F45" i="1" s="1"/>
  <c r="BR42" i="7"/>
  <c r="J45" i="1" s="1"/>
  <c r="J43" i="3"/>
  <c r="J40" i="3"/>
  <c r="BH5" i="3" a="1"/>
  <c r="BH5" i="3" s="1"/>
  <c r="AI5" i="3"/>
  <c r="BG5" i="3"/>
  <c r="BL43" i="3"/>
  <c r="E12" i="1" s="1"/>
  <c r="BL40" i="3"/>
  <c r="E9" i="1" s="1"/>
  <c r="BQ43" i="3"/>
  <c r="I12" i="1" s="1"/>
  <c r="BQ40" i="3"/>
  <c r="I9" i="1" s="1"/>
  <c r="BG7" i="3"/>
  <c r="AI7" i="3"/>
  <c r="BE7" i="3" s="1"/>
  <c r="L43" i="3"/>
  <c r="L40" i="3"/>
  <c r="AH43" i="3"/>
  <c r="AH40" i="3"/>
  <c r="BE21" i="3"/>
  <c r="BE29" i="3"/>
  <c r="M40" i="3"/>
  <c r="AJ43" i="3"/>
  <c r="AJ40" i="3"/>
  <c r="BN43" i="3"/>
  <c r="G12" i="1" s="1"/>
  <c r="BN40" i="3"/>
  <c r="G9" i="1" s="1"/>
  <c r="BS43" i="3"/>
  <c r="K12" i="1" s="1"/>
  <c r="BS40" i="3"/>
  <c r="K9" i="1" s="1"/>
  <c r="AI9" i="3"/>
  <c r="BE9" i="3" s="1"/>
  <c r="BG9" i="3"/>
  <c r="K5" i="3"/>
  <c r="M43" i="3"/>
  <c r="BT43" i="3"/>
  <c r="L12" i="1" s="1"/>
  <c r="AG15" i="5"/>
  <c r="BB15" i="5" s="1"/>
  <c r="E22" i="1" s="1"/>
  <c r="BB5" i="5"/>
  <c r="BC6" i="5"/>
  <c r="BF7" i="5"/>
  <c r="AH7" i="5"/>
  <c r="BC7" i="5" s="1"/>
  <c r="BG7" i="5" a="1"/>
  <c r="BG7" i="5" s="1"/>
  <c r="AJ14" i="5"/>
  <c r="BE14" i="5" s="1"/>
  <c r="D21" i="1" s="1"/>
  <c r="BE10" i="5"/>
  <c r="AG12" i="5"/>
  <c r="BB12" i="5" s="1"/>
  <c r="E19" i="1" s="1"/>
  <c r="L14" i="5"/>
  <c r="AI11" i="3"/>
  <c r="BE11" i="3" s="1"/>
  <c r="BG13" i="3"/>
  <c r="AI15" i="3"/>
  <c r="BH15" i="3" a="1"/>
  <c r="BH15" i="3" s="1"/>
  <c r="BG17" i="3"/>
  <c r="AI19" i="3"/>
  <c r="BE19" i="3" s="1"/>
  <c r="BG21" i="3"/>
  <c r="AI23" i="3"/>
  <c r="BE23" i="3" s="1"/>
  <c r="K25" i="3"/>
  <c r="K41" i="3" s="1"/>
  <c r="BG25" i="3"/>
  <c r="AI27" i="3"/>
  <c r="BE27" i="3" s="1"/>
  <c r="BG29" i="3"/>
  <c r="L42" i="3"/>
  <c r="AH42" i="3"/>
  <c r="AI31" i="3"/>
  <c r="BE31" i="3" s="1"/>
  <c r="BG33" i="3"/>
  <c r="AI35" i="3"/>
  <c r="BH35" i="3" a="1"/>
  <c r="BH35" i="3" s="1"/>
  <c r="BH42" i="3" s="1"/>
  <c r="BG37" i="3"/>
  <c r="AI39" i="3"/>
  <c r="BE39" i="3" s="1"/>
  <c r="BM40" i="3"/>
  <c r="F9" i="1" s="1"/>
  <c r="BR40" i="3"/>
  <c r="J9" i="1" s="1"/>
  <c r="AI15" i="5"/>
  <c r="BD5" i="5"/>
  <c r="BE5" i="5"/>
  <c r="BD6" i="5"/>
  <c r="BC8" i="5"/>
  <c r="BG9" i="5" a="1"/>
  <c r="BG9" i="5" s="1"/>
  <c r="BG13" i="5" s="1"/>
  <c r="BF9" i="5"/>
  <c r="AH9" i="5"/>
  <c r="BG10" i="5" a="1"/>
  <c r="BG10" i="5" s="1"/>
  <c r="AI12" i="5"/>
  <c r="BD12" i="5" s="1"/>
  <c r="AJ15" i="5"/>
  <c r="L12" i="6"/>
  <c r="L15" i="6"/>
  <c r="BD15" i="6" s="1"/>
  <c r="AJ12" i="6"/>
  <c r="BE5" i="6"/>
  <c r="AJ15" i="6"/>
  <c r="BC7" i="6"/>
  <c r="BC11" i="6"/>
  <c r="BE13" i="6"/>
  <c r="D32" i="1" s="1"/>
  <c r="BE30" i="3"/>
  <c r="AK43" i="3"/>
  <c r="BP43" i="3"/>
  <c r="H12" i="1" s="1"/>
  <c r="K12" i="5"/>
  <c r="BE12" i="5"/>
  <c r="D19" i="1" s="1"/>
  <c r="BF6" i="5"/>
  <c r="AG13" i="5"/>
  <c r="BB13" i="5" s="1"/>
  <c r="E20" i="1" s="1"/>
  <c r="BB9" i="5"/>
  <c r="BC10" i="5"/>
  <c r="AH14" i="5"/>
  <c r="BC14" i="5" s="1"/>
  <c r="C21" i="1" s="1"/>
  <c r="BF11" i="5"/>
  <c r="AH11" i="5"/>
  <c r="BC11" i="5" s="1"/>
  <c r="BG11" i="5" a="1"/>
  <c r="BG11" i="5" s="1"/>
  <c r="M13" i="5"/>
  <c r="BE13" i="5" s="1"/>
  <c r="D20" i="1" s="1"/>
  <c r="AI14" i="5"/>
  <c r="BD14" i="5" s="1"/>
  <c r="K15" i="5"/>
  <c r="BB14" i="6"/>
  <c r="E33" i="1" s="1"/>
  <c r="K15" i="3"/>
  <c r="AI25" i="3"/>
  <c r="J42" i="3"/>
  <c r="AJ42" i="3"/>
  <c r="K35" i="3"/>
  <c r="K42" i="3" s="1"/>
  <c r="L15" i="5"/>
  <c r="BG5" i="5" a="1"/>
  <c r="BG5" i="5" s="1"/>
  <c r="BF5" i="5"/>
  <c r="AH5" i="5"/>
  <c r="BG6" i="5" a="1"/>
  <c r="BG6" i="5" s="1"/>
  <c r="BF8" i="5"/>
  <c r="BD9" i="5"/>
  <c r="AI13" i="5"/>
  <c r="BD13" i="5" s="1"/>
  <c r="M15" i="5"/>
  <c r="K12" i="6"/>
  <c r="BC5" i="6"/>
  <c r="BD5" i="6"/>
  <c r="AI12" i="6"/>
  <c r="BD6" i="6"/>
  <c r="BF7" i="6"/>
  <c r="BF9" i="6"/>
  <c r="AH9" i="6"/>
  <c r="BB10" i="6"/>
  <c r="AG12" i="6"/>
  <c r="BB12" i="6" s="1"/>
  <c r="E31" i="1" s="1"/>
  <c r="M43" i="7"/>
  <c r="M40" i="7"/>
  <c r="BE5" i="7"/>
  <c r="BP43" i="7"/>
  <c r="H46" i="1" s="1"/>
  <c r="BP40" i="7"/>
  <c r="H43" i="1" s="1"/>
  <c r="BT43" i="7"/>
  <c r="L46" i="1" s="1"/>
  <c r="BT40" i="7"/>
  <c r="L43" i="1" s="1"/>
  <c r="BG8" i="7"/>
  <c r="AI8" i="7"/>
  <c r="BE8" i="7" s="1"/>
  <c r="AI14" i="7"/>
  <c r="BE14" i="7" s="1"/>
  <c r="BG14" i="7"/>
  <c r="BG16" i="7"/>
  <c r="AI16" i="7"/>
  <c r="BE16" i="7" s="1"/>
  <c r="BG20" i="7"/>
  <c r="BH20" i="7" a="1"/>
  <c r="BH20" i="7" s="1"/>
  <c r="AI20" i="7"/>
  <c r="AI22" i="7"/>
  <c r="BE22" i="7" s="1"/>
  <c r="BG22" i="7"/>
  <c r="BE25" i="7"/>
  <c r="BG28" i="7"/>
  <c r="AI28" i="7"/>
  <c r="BE28" i="7" s="1"/>
  <c r="AI34" i="7"/>
  <c r="BE34" i="7" s="1"/>
  <c r="BG34" i="7"/>
  <c r="M12" i="6"/>
  <c r="AG15" i="6"/>
  <c r="BG6" i="6" a="1"/>
  <c r="BG6" i="6" s="1"/>
  <c r="BG9" i="6" a="1"/>
  <c r="BG9" i="6" s="1"/>
  <c r="BG13" i="6" s="1"/>
  <c r="K10" i="6"/>
  <c r="K14" i="6" s="1"/>
  <c r="BC14" i="6" s="1"/>
  <c r="C33" i="1" s="1"/>
  <c r="BG10" i="6" a="1"/>
  <c r="BG10" i="6" s="1"/>
  <c r="M15" i="6"/>
  <c r="J43" i="7"/>
  <c r="AJ43" i="7"/>
  <c r="K10" i="7"/>
  <c r="BH15" i="7" a="1"/>
  <c r="BH15" i="7" s="1"/>
  <c r="J41" i="7"/>
  <c r="AJ41" i="7"/>
  <c r="K30" i="7"/>
  <c r="K42" i="7" s="1"/>
  <c r="AK42" i="7"/>
  <c r="BE37" i="7"/>
  <c r="J15" i="6"/>
  <c r="BB5" i="6"/>
  <c r="BF5" i="6"/>
  <c r="BF8" i="6"/>
  <c r="BD13" i="6"/>
  <c r="BD9" i="6"/>
  <c r="BD10" i="6"/>
  <c r="AJ14" i="6"/>
  <c r="K40" i="7"/>
  <c r="AK43" i="7"/>
  <c r="AK40" i="7"/>
  <c r="BM43" i="7"/>
  <c r="F46" i="1" s="1"/>
  <c r="BM40" i="7"/>
  <c r="F43" i="1" s="1"/>
  <c r="BR43" i="7"/>
  <c r="J46" i="1" s="1"/>
  <c r="BR40" i="7"/>
  <c r="J43" i="1" s="1"/>
  <c r="AI6" i="7"/>
  <c r="BE6" i="7" s="1"/>
  <c r="BG6" i="7"/>
  <c r="BH10" i="7" a="1"/>
  <c r="BH10" i="7" s="1"/>
  <c r="AI10" i="7"/>
  <c r="BG10" i="7"/>
  <c r="BG12" i="7"/>
  <c r="AI12" i="7"/>
  <c r="BE12" i="7" s="1"/>
  <c r="AI18" i="7"/>
  <c r="BE18" i="7" s="1"/>
  <c r="BG18" i="7"/>
  <c r="BG24" i="7"/>
  <c r="AI24" i="7"/>
  <c r="BE24" i="7" s="1"/>
  <c r="K41" i="7"/>
  <c r="AK41" i="7"/>
  <c r="AI26" i="7"/>
  <c r="BE26" i="7" s="1"/>
  <c r="BG26" i="7"/>
  <c r="J42" i="7"/>
  <c r="BH30" i="7" a="1"/>
  <c r="BH30" i="7" s="1"/>
  <c r="BH42" i="7" s="1"/>
  <c r="AI30" i="7"/>
  <c r="BG30" i="7"/>
  <c r="BG32" i="7"/>
  <c r="AI32" i="7"/>
  <c r="BE32" i="7" s="1"/>
  <c r="AH6" i="6"/>
  <c r="BC6" i="6" s="1"/>
  <c r="BG7" i="6" a="1"/>
  <c r="BG7" i="6" s="1"/>
  <c r="AH8" i="6"/>
  <c r="BC8" i="6" s="1"/>
  <c r="BG11" i="6" a="1"/>
  <c r="BG11" i="6" s="1"/>
  <c r="BF11" i="6"/>
  <c r="BH5" i="7" a="1"/>
  <c r="BH5" i="7" s="1"/>
  <c r="K20" i="7"/>
  <c r="BH25" i="7" a="1"/>
  <c r="BH25" i="7" s="1"/>
  <c r="BH41" i="7" s="1"/>
  <c r="J40" i="7"/>
  <c r="AH40" i="7"/>
  <c r="BL40" i="7"/>
  <c r="E43" i="1" s="1"/>
  <c r="BQ40" i="7"/>
  <c r="I43" i="1" s="1"/>
  <c r="BG37" i="7"/>
  <c r="AI39" i="7"/>
  <c r="BE39" i="7" s="1"/>
  <c r="L40" i="7"/>
  <c r="AJ40" i="7"/>
  <c r="BN40" i="7"/>
  <c r="G43" i="1" s="1"/>
  <c r="BS40" i="7"/>
  <c r="K43" i="1" s="1"/>
  <c r="BJ20" i="7"/>
  <c r="BJ10" i="7"/>
  <c r="BK30" i="7"/>
  <c r="BK10" i="7"/>
  <c r="BJ30" i="7"/>
  <c r="BK20" i="7"/>
  <c r="BJ25" i="3"/>
  <c r="BJ15" i="3"/>
  <c r="BK5" i="3"/>
  <c r="BJ35" i="3"/>
  <c r="BJ5" i="3"/>
  <c r="AH12" i="6" l="1"/>
  <c r="BC12" i="6" s="1"/>
  <c r="C31" i="1" s="1"/>
  <c r="K43" i="7"/>
  <c r="BE20" i="7"/>
  <c r="BE14" i="6"/>
  <c r="D33" i="1" s="1"/>
  <c r="BC10" i="6"/>
  <c r="BG14" i="6"/>
  <c r="BG15" i="6"/>
  <c r="BE15" i="6"/>
  <c r="D34" i="1" s="1"/>
  <c r="BK42" i="7"/>
  <c r="D45" i="1" s="1"/>
  <c r="BJ43" i="7"/>
  <c r="C46" i="1" s="1"/>
  <c r="BJ40" i="7"/>
  <c r="C43" i="1" s="1"/>
  <c r="BJ42" i="7"/>
  <c r="C45" i="1" s="1"/>
  <c r="BJ42" i="3"/>
  <c r="C11" i="1" s="1"/>
  <c r="BK43" i="7"/>
  <c r="D46" i="1" s="1"/>
  <c r="BK40" i="7"/>
  <c r="D43" i="1" s="1"/>
  <c r="BJ41" i="3"/>
  <c r="C10" i="1" s="1"/>
  <c r="BH43" i="7"/>
  <c r="BH40" i="7"/>
  <c r="AH13" i="5"/>
  <c r="BC13" i="5" s="1"/>
  <c r="C20" i="1" s="1"/>
  <c r="BC9" i="5"/>
  <c r="BE35" i="3"/>
  <c r="BK40" i="3"/>
  <c r="D9" i="1" s="1"/>
  <c r="BK43" i="3"/>
  <c r="D12" i="1" s="1"/>
  <c r="BH43" i="3"/>
  <c r="BH40" i="3"/>
  <c r="AI40" i="7"/>
  <c r="BE40" i="7" s="1"/>
  <c r="BE5" i="3"/>
  <c r="AI43" i="3"/>
  <c r="AI40" i="3"/>
  <c r="BB15" i="6"/>
  <c r="E34" i="1" s="1"/>
  <c r="BE12" i="6"/>
  <c r="D31" i="1" s="1"/>
  <c r="BG12" i="6"/>
  <c r="AI42" i="3"/>
  <c r="BE42" i="3" s="1"/>
  <c r="BE25" i="3"/>
  <c r="AI41" i="3"/>
  <c r="BE41" i="3" s="1"/>
  <c r="K43" i="3"/>
  <c r="K40" i="3"/>
  <c r="BE30" i="7"/>
  <c r="AI42" i="7"/>
  <c r="BE42" i="7" s="1"/>
  <c r="AI41" i="7"/>
  <c r="BE41" i="7" s="1"/>
  <c r="AI43" i="7"/>
  <c r="AH12" i="5"/>
  <c r="BC12" i="5" s="1"/>
  <c r="C19" i="1" s="1"/>
  <c r="AH15" i="5"/>
  <c r="BC15" i="5" s="1"/>
  <c r="C22" i="1" s="1"/>
  <c r="BC5" i="5"/>
  <c r="BE15" i="5"/>
  <c r="D22" i="1" s="1"/>
  <c r="BE10" i="7"/>
  <c r="AH15" i="6"/>
  <c r="AH13" i="6"/>
  <c r="BC13" i="6" s="1"/>
  <c r="C32" i="1" s="1"/>
  <c r="BC9" i="6"/>
  <c r="BD12" i="6"/>
  <c r="K15" i="6"/>
  <c r="BG15" i="5"/>
  <c r="BG12" i="5"/>
  <c r="BG14" i="5"/>
  <c r="BD15" i="5"/>
  <c r="BE15" i="3"/>
  <c r="BJ43" i="3"/>
  <c r="C12" i="1" s="1"/>
  <c r="BJ40" i="3"/>
  <c r="C9" i="1" s="1"/>
  <c r="BE43" i="7" l="1"/>
  <c r="BE43" i="3"/>
  <c r="BC15" i="6"/>
  <c r="C34" i="1" s="1"/>
  <c r="BE40" i="3"/>
</calcChain>
</file>

<file path=xl/sharedStrings.xml><?xml version="1.0" encoding="utf-8"?>
<sst xmlns="http://schemas.openxmlformats.org/spreadsheetml/2006/main" count="1512" uniqueCount="594">
  <si>
    <t>Reference:</t>
  </si>
  <si>
    <t>Master+r7.0</t>
  </si>
  <si>
    <t>Tested:</t>
  </si>
  <si>
    <t>Sony CROSS-CHECK (32 frames)</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</si>
  <si>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</si>
  <si>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</si>
  <si>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</si>
  <si>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</si>
  <si>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</si>
  <si>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</si>
  <si>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</si>
  <si>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</si>
  <si>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</si>
  <si>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</si>
  <si>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</si>
  <si>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</si>
  <si>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</si>
  <si>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</si>
  <si>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</si>
  <si>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</si>
  <si>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</si>
  <si>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</si>
  <si>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</si>
  <si>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</si>
  <si>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</si>
  <si>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</si>
  <si>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</si>
  <si>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</si>
  <si>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</si>
  <si>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</si>
  <si>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</si>
  <si>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</si>
  <si>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</si>
  <si>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</si>
  <si>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</si>
  <si>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</si>
  <si>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</si>
  <si>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</si>
  <si>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</si>
  <si>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</si>
  <si>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</si>
  <si>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</si>
  <si>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</si>
  <si>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</si>
  <si>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</si>
  <si>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</si>
  <si>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</si>
  <si>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</si>
  <si>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</si>
  <si>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</si>
  <si>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</si>
  <si>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</si>
  <si>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</si>
  <si>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</si>
  <si>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</si>
  <si>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</si>
  <si>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</si>
  <si>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</si>
  <si>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</si>
  <si>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</si>
  <si>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</si>
  <si>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</si>
  <si>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</si>
  <si>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</si>
  <si>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</si>
  <si>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</si>
  <si>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</si>
  <si>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</si>
  <si>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</si>
  <si>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</si>
  <si>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</si>
  <si>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</si>
  <si>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</si>
  <si>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</si>
  <si>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</si>
  <si>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</si>
  <si>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</si>
  <si>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</si>
  <si>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</si>
  <si>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</si>
  <si>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</si>
  <si>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</si>
  <si>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</si>
  <si>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</si>
  <si>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</si>
  <si>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</si>
  <si>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</si>
  <si>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</si>
  <si>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</si>
  <si>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</si>
  <si>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</si>
  <si>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</si>
  <si>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</si>
  <si>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</si>
  <si>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</si>
  <si>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</si>
  <si>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</si>
  <si>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</si>
  <si>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</si>
  <si>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</si>
  <si>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</si>
  <si>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</si>
  <si>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</si>
  <si>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</si>
  <si>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</si>
  <si>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</si>
  <si>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</si>
  <si>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</si>
  <si>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</si>
  <si>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</si>
  <si>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</si>
  <si>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</si>
  <si>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</si>
  <si>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</si>
  <si>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</si>
  <si>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</si>
  <si>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</si>
  <si>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</si>
  <si>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</si>
  <si>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</si>
  <si>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</si>
  <si>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</si>
  <si>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</si>
  <si>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</si>
  <si>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</si>
  <si>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</si>
  <si>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</si>
  <si>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</si>
  <si>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</si>
  <si>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</si>
  <si>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</si>
  <si>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</si>
  <si>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</si>
  <si>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</si>
  <si>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</si>
  <si>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</si>
  <si>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</si>
  <si>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</si>
  <si>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</si>
  <si>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</si>
  <si>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</si>
  <si>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</si>
  <si>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</si>
  <si>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</si>
  <si>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</si>
  <si>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</si>
  <si>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</si>
  <si>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</si>
  <si>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</si>
  <si>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</si>
  <si>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</si>
  <si>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</si>
  <si>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</si>
  <si>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</si>
  <si>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</si>
  <si>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</si>
  <si>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</si>
  <si>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</si>
  <si>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</si>
  <si>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</si>
  <si>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</si>
  <si>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</si>
  <si>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</si>
  <si>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</si>
  <si>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</si>
  <si>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</si>
  <si>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</si>
  <si>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</si>
  <si>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</si>
  <si>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</si>
  <si>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</si>
  <si>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</si>
  <si>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</si>
  <si>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</si>
  <si>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</si>
  <si>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</si>
  <si>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</si>
  <si>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</si>
  <si>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</si>
  <si>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</si>
  <si>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</si>
  <si>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</si>
  <si>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</si>
  <si>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</si>
  <si>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</si>
  <si>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</si>
  <si>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</si>
  <si>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</si>
  <si>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</si>
  <si>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</si>
  <si>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</si>
  <si>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</si>
  <si>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</si>
  <si>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</si>
  <si>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</si>
  <si>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</si>
  <si>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</si>
  <si>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</si>
  <si>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</si>
  <si>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</si>
  <si>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</si>
  <si>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</si>
  <si>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</si>
  <si>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</si>
  <si>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</si>
  <si>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</si>
  <si>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</si>
  <si>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</si>
  <si>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</si>
  <si>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</si>
  <si>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</si>
  <si>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</si>
  <si>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</si>
  <si>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</si>
  <si>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</si>
  <si>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</si>
  <si>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</si>
  <si>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</si>
  <si>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</si>
  <si>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</si>
  <si>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</si>
  <si>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</si>
  <si>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</si>
  <si>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</si>
  <si>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</si>
  <si>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</si>
  <si>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</si>
  <si>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</si>
  <si>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</si>
  <si>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</si>
  <si>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</si>
  <si>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</si>
  <si>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</si>
  <si>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</si>
  <si>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</si>
  <si>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</si>
  <si>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</si>
  <si>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</si>
  <si>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</si>
  <si>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</si>
  <si>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</si>
  <si>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</si>
  <si>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</si>
  <si>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</si>
  <si>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</si>
  <si>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</si>
  <si>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</si>
  <si>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</si>
  <si>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</si>
  <si>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</si>
  <si>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</si>
  <si>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</si>
  <si>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</si>
  <si>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</si>
  <si>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</si>
  <si>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</si>
  <si>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</si>
  <si>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</si>
  <si>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</si>
  <si>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</si>
  <si>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</si>
  <si>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</si>
  <si>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</si>
  <si>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</si>
  <si>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</si>
  <si>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</si>
  <si>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</si>
  <si>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</si>
  <si>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</si>
  <si>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</si>
  <si>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</si>
  <si>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</si>
  <si>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</si>
  <si>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</si>
  <si>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</si>
  <si>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</si>
  <si>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</si>
  <si>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</si>
  <si>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</si>
  <si>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</si>
  <si>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</si>
  <si>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</si>
  <si>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</si>
  <si>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</si>
  <si>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</si>
  <si>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</si>
  <si>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</si>
  <si>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</si>
  <si>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</si>
  <si>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</si>
  <si>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</si>
  <si>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</si>
  <si>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</si>
  <si>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</si>
  <si>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</si>
  <si>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</si>
  <si>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</si>
  <si>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</si>
  <si>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</si>
  <si>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</si>
  <si>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</si>
  <si>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</si>
  <si>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</si>
  <si>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</si>
  <si>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</si>
  <si>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</si>
  <si>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</si>
  <si>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</si>
  <si>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</si>
  <si>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</si>
  <si>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</si>
  <si>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</si>
  <si>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</si>
  <si>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</si>
  <si>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</si>
  <si>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</si>
  <si>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</si>
  <si>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</si>
  <si>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</si>
  <si>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</si>
  <si>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</si>
  <si>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</si>
  <si>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</si>
  <si>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</si>
  <si>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</si>
  <si>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</si>
  <si>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</si>
  <si>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</si>
  <si>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</si>
  <si>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</si>
  <si>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</si>
  <si>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</si>
  <si>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</si>
  <si>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</si>
  <si>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</si>
  <si>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</si>
  <si>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</si>
  <si>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</si>
  <si>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</si>
  <si>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</si>
  <si>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</si>
  <si>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</si>
  <si>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</si>
  <si>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</si>
  <si>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</si>
  <si>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</si>
  <si>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</si>
  <si>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</si>
  <si>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</si>
  <si>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</si>
  <si>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</si>
  <si>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</si>
  <si>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</si>
  <si>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</si>
  <si>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</si>
  <si>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</si>
  <si>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</si>
  <si>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</si>
  <si>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</si>
  <si>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</si>
  <si>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</si>
  <si>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</si>
  <si>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</si>
  <si>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</si>
  <si>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</si>
  <si>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</si>
  <si>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</si>
  <si>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</si>
  <si>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</si>
  <si>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</si>
  <si>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</si>
  <si>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</si>
  <si>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</si>
  <si>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</si>
  <si>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</si>
  <si>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</si>
  <si>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</si>
  <si>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</si>
  <si>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</si>
  <si>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</si>
  <si>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</si>
  <si>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</si>
  <si>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</si>
  <si>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</si>
  <si>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</si>
  <si>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</si>
  <si>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</si>
  <si>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</si>
  <si>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</si>
  <si>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</si>
  <si>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</si>
  <si>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</si>
  <si>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</si>
  <si>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</si>
  <si>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</si>
  <si>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</si>
  <si>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</si>
  <si>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</si>
  <si>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</si>
  <si>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</si>
  <si>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</si>
  <si>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</si>
  <si>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</si>
  <si>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</si>
  <si>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</si>
  <si>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</si>
  <si>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</si>
  <si>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</si>
  <si>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</si>
  <si>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</si>
  <si>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</si>
  <si>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</si>
  <si>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</si>
  <si>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</si>
  <si>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</si>
  <si>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</si>
  <si>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</si>
  <si>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</si>
  <si>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</si>
  <si>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</si>
  <si>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</si>
  <si>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</si>
  <si>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</si>
  <si>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</si>
  <si>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</si>
  <si>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</si>
  <si>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</si>
  <si>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</si>
  <si>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</si>
  <si>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</si>
  <si>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</si>
  <si>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</si>
  <si>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</si>
  <si>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</si>
  <si>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</si>
  <si>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</si>
  <si>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</si>
  <si>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</si>
  <si>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</si>
  <si>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</si>
  <si>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</si>
  <si>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</si>
  <si>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</si>
  <si>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</si>
  <si>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</si>
  <si>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</si>
  <si>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</si>
  <si>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</si>
  <si>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</si>
  <si>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</si>
  <si>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</si>
  <si>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</si>
  <si>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</si>
  <si>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</si>
  <si>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</si>
  <si>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</si>
  <si>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</si>
  <si>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</si>
  <si>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</si>
  <si>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</si>
  <si>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</si>
  <si>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</si>
  <si>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</si>
  <si>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</si>
  <si>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</si>
  <si>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</si>
  <si>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</si>
  <si>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</si>
  <si>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</si>
  <si>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</si>
  <si>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</si>
  <si>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</si>
  <si>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</si>
  <si>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</si>
  <si>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</si>
  <si>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</si>
  <si>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</si>
  <si>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</si>
  <si>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</si>
  <si>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</si>
  <si>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</si>
  <si>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</si>
  <si>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</si>
  <si>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</si>
  <si>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</si>
  <si>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</si>
  <si>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</si>
  <si>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</si>
  <si>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</si>
  <si>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</si>
  <si>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</si>
  <si>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</si>
  <si>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</si>
  <si>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</si>
  <si>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</si>
  <si>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</si>
  <si>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</si>
  <si>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</si>
  <si>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</si>
  <si>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</si>
  <si>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</si>
  <si>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</si>
  <si>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</si>
  <si>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</si>
  <si>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</si>
  <si>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</si>
  <si>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</si>
  <si>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</si>
  <si>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</si>
  <si>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</si>
  <si>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</si>
  <si>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</si>
  <si>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</si>
  <si>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</si>
  <si>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</si>
  <si>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</si>
  <si>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</si>
  <si>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</si>
  <si>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</si>
  <si>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</si>
  <si>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</si>
  <si>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</si>
  <si>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</si>
  <si>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</si>
  <si>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</si>
  <si>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</si>
  <si>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</si>
  <si>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</si>
  <si>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</si>
  <si>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</si>
  <si>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</si>
  <si>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</si>
  <si>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</si>
  <si>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</si>
  <si>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</si>
  <si>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</si>
  <si>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</si>
  <si>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</si>
  <si>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</si>
  <si>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</si>
  <si>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</si>
  <si>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</si>
  <si>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</si>
  <si>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</si>
  <si>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</si>
  <si>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</si>
  <si>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</si>
  <si>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</si>
  <si>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</si>
  <si>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</si>
  <si>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</si>
  <si>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</si>
  <si>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</si>
  <si>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</si>
  <si>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</si>
  <si>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</si>
  <si>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</si>
  <si>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</si>
  <si>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</si>
  <si>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</si>
  <si>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</si>
  <si>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</si>
  <si>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</si>
  <si>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</si>
  <si>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</si>
  <si>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</si>
  <si>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</si>
  <si>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</si>
  <si>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</si>
  <si>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</si>
  <si>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</si>
  <si>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</si>
  <si>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</si>
  <si>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</si>
  <si>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</si>
  <si>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</si>
  <si>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</si>
  <si>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</si>
  <si>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</si>
  <si>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</si>
  <si>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</si>
  <si>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</si>
  <si>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</si>
  <si>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</si>
  <si>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</si>
  <si>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</si>
  <si>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</si>
  <si>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</si>
  <si>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</si>
  <si>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</si>
  <si>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TMC2v7.2</t>
  </si>
  <si>
    <t>TMC2v8.0rc1</t>
  </si>
  <si>
    <t>TMC2v8.0 rc3 multistream=0 absoluteD1=1 absoluteT1=1</t>
  </si>
  <si>
    <t>TMC2v8.0rc3 : multistream=0 absoluteD1=1 absoluteT1=1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</si>
</sst>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TMC2v7.2</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3F8F-404B-927E-1D7ACBEBC2F6}"/>
            </c:ext>
          </c:extLst>
        </c:ser>
        <c:ser>
          <c:idx val="1"/>
          <c:order val="1"/>
          <c:tx>
            <c:strRef>
              <c:f>Graphs!graph_a_B_title</c:f>
              <c:strCache>
                <c:ptCount val="1"/>
                <c:pt idx="0">
                  <c:v>TMC2v8.0 rc3 multistream=0 absoluteD1=1 absoluteT1=1</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1-3F8F-404B-927E-1D7ACBEBC2F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TMC2v7.2</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107A-46A3-86C8-BABD6136BC10}"/>
            </c:ext>
          </c:extLst>
        </c:ser>
        <c:ser>
          <c:idx val="1"/>
          <c:order val="1"/>
          <c:tx>
            <c:strRef>
              <c:f>Graphs!graph_b_B_title</c:f>
              <c:strCache>
                <c:ptCount val="1"/>
                <c:pt idx="0">
                  <c:v>TMC2v8.0 rc3 multistream=0 absoluteD1=1 absoluteT1=1</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1-107A-46A3-86C8-BABD6136BC1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TMC2v7.2</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0-875B-49A5-9FB8-7C3669A7CB5D}"/>
            </c:ext>
          </c:extLst>
        </c:ser>
        <c:ser>
          <c:idx val="1"/>
          <c:order val="1"/>
          <c:tx>
            <c:strRef>
              <c:f>Graphs!graph_c_B_title</c:f>
              <c:strCache>
                <c:ptCount val="1"/>
                <c:pt idx="0">
                  <c:v>TMC2v8.0 rc3 multistream=0 absoluteD1=1 absoluteT1=1</c:v>
                </c:pt>
              </c:strCache>
            </c:strRef>
          </c:tx>
          <c:spPr>
            <a:ln>
              <a:prstDash val="solid"/>
            </a:ln>
          </c:spPr>
          <c:marker>
            <c:symbol val="none"/>
          </c:marker>
          <c:xVal>
            <c:numRef>
              <c:f>Graphs!graph_c_x_range_B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Graphs!graph_c_y_range_B</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1-875B-49A5-9FB8-7C3669A7CB5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TMC2v7.2</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0-A6B1-4B4F-95DB-9C0C8D36D7B8}"/>
            </c:ext>
          </c:extLst>
        </c:ser>
        <c:ser>
          <c:idx val="1"/>
          <c:order val="1"/>
          <c:tx>
            <c:strRef>
              <c:f>Graphs!graph_d_B_title</c:f>
              <c:strCache>
                <c:ptCount val="1"/>
                <c:pt idx="0">
                  <c:v>TMC2v8.0 rc3 multistream=0 absoluteD1=1 absoluteT1=1</c:v>
                </c:pt>
              </c:strCache>
            </c:strRef>
          </c:tx>
          <c:spPr>
            <a:ln>
              <a:prstDash val="solid"/>
            </a:ln>
          </c:spPr>
          <c:marker>
            <c:symbol val="none"/>
          </c:marker>
          <c:xVal>
            <c:numRef>
              <c:f>Graphs!graph_d_x_range_B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Graphs!graph_d_y_range_B</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1-A6B1-4B4F-95DB-9C0C8D36D7B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TMC2v7.2</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0-BF5A-4C08-AFCE-6992B2E78039}"/>
            </c:ext>
          </c:extLst>
        </c:ser>
        <c:ser>
          <c:idx val="1"/>
          <c:order val="1"/>
          <c:tx>
            <c:strRef>
              <c:f>Graphs!graph_e_B_title</c:f>
              <c:strCache>
                <c:ptCount val="1"/>
                <c:pt idx="0">
                  <c:v>TMC2v8.0 rc3 multistream=0 absoluteD1=1 absoluteT1=1</c:v>
                </c:pt>
              </c:strCache>
            </c:strRef>
          </c:tx>
          <c:spPr>
            <a:ln>
              <a:prstDash val="solid"/>
            </a:ln>
          </c:spPr>
          <c:marker>
            <c:symbol val="none"/>
          </c:marker>
          <c:xVal>
            <c:numRef>
              <c:f>Graphs!graph_e_x_range_B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Graphs!graph_e_y_range_B</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1-BF5A-4C08-AFCE-6992B2E78039}"/>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TMC2v7.2</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542E-4451-A08D-50C323FB60B2}"/>
            </c:ext>
          </c:extLst>
        </c:ser>
        <c:ser>
          <c:idx val="1"/>
          <c:order val="1"/>
          <c:tx>
            <c:strRef>
              <c:f>Graphs!graph_f_B_title</c:f>
              <c:strCache>
                <c:ptCount val="1"/>
                <c:pt idx="0">
                  <c:v>TMC2v8.0 rc3 multistream=0 absoluteD1=1 absoluteT1=1</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542E-4451-A08D-50C323FB60B2}"/>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A23" workbookViewId="0">
      <selection activeCell="C1" sqref="C1:E1"/>
    </sheetView>
  </sheetViews>
  <sheetFormatPr baseColWidth="10" defaultColWidth="8.83203125" defaultRowHeight="15"/>
  <cols>
    <col min="2" max="2" width="16.6640625" style="53" customWidth="1"/>
    <col min="3" max="12" width="24.6640625" style="53" customWidth="1"/>
  </cols>
  <sheetData>
    <row r="1" spans="2:12">
      <c r="B1" t="s">
        <v>0</v>
      </c>
      <c r="C1" s="61" t="s">
        <v>1</v>
      </c>
      <c r="D1" s="62"/>
      <c r="E1" s="62"/>
    </row>
    <row r="2" spans="2:12">
      <c r="B2" t="s">
        <v>2</v>
      </c>
      <c r="C2" s="63" t="s">
        <v>3</v>
      </c>
      <c r="D2" s="62"/>
      <c r="E2" s="62"/>
    </row>
    <row r="4" spans="2:12" s="1" customFormat="1">
      <c r="B4" s="1" t="s">
        <v>4</v>
      </c>
    </row>
    <row r="6" spans="2:12">
      <c r="B6" s="64" t="s">
        <v>5</v>
      </c>
      <c r="C6" s="66" t="s">
        <v>6</v>
      </c>
      <c r="D6" s="67"/>
      <c r="E6" s="67"/>
      <c r="F6" s="67"/>
      <c r="G6" s="67"/>
      <c r="H6" s="67"/>
      <c r="I6" s="67"/>
      <c r="J6" s="67"/>
      <c r="K6" s="67"/>
      <c r="L6" s="67"/>
    </row>
    <row r="7" spans="2:12">
      <c r="B7" s="62"/>
      <c r="C7" s="68" t="s">
        <v>7</v>
      </c>
      <c r="D7" s="62"/>
      <c r="E7" s="69" t="s">
        <v>8</v>
      </c>
      <c r="F7" s="62"/>
      <c r="G7" s="62"/>
      <c r="H7" s="68" t="s">
        <v>9</v>
      </c>
      <c r="I7" s="62"/>
      <c r="J7" s="69" t="s">
        <v>10</v>
      </c>
      <c r="K7" s="62"/>
      <c r="L7" s="62"/>
    </row>
    <row r="8" spans="2:12" ht="16">
      <c r="B8" s="65"/>
      <c r="C8" s="2" t="s">
        <v>11</v>
      </c>
      <c r="D8" s="2" t="s">
        <v>12</v>
      </c>
      <c r="E8" s="3" t="s">
        <v>13</v>
      </c>
      <c r="F8" s="3" t="s">
        <v>14</v>
      </c>
      <c r="G8" s="3" t="s">
        <v>15</v>
      </c>
      <c r="H8" s="2" t="s">
        <v>11</v>
      </c>
      <c r="I8" s="2" t="s">
        <v>12</v>
      </c>
      <c r="J8" s="3" t="s">
        <v>13</v>
      </c>
      <c r="K8" s="3" t="s">
        <v>14</v>
      </c>
      <c r="L8" s="3" t="s">
        <v>15</v>
      </c>
    </row>
    <row r="9" spans="2:12">
      <c r="B9" t="s">
        <v>16</v>
      </c>
      <c r="C9" s="51">
        <f>'C2 lossyG,lossyA,intra'!$BJ$40:$BJ$40</f>
        <v>2.2805451345538491E-2</v>
      </c>
      <c r="D9" s="51">
        <f>'C2 lossyG,lossyA,intra'!$BK$40:$BK$40</f>
        <v>-6.2843990057192545E-3</v>
      </c>
      <c r="E9" s="51">
        <f>'C2 lossyG,lossyA,intra'!$BL$40:$BL$40</f>
        <v>5.0324679498513769E-3</v>
      </c>
      <c r="F9" s="51">
        <f>'C2 lossyG,lossyA,intra'!$BM$40:$BM$40</f>
        <v>-6.609747847450359E-3</v>
      </c>
      <c r="G9" s="51">
        <f>'C2 lossyG,lossyA,intra'!$BN$40:$BN$40</f>
        <v>-8.2031673004039074E-3</v>
      </c>
      <c r="H9" s="51">
        <f>'C2 lossyG,lossyA,intra'!$BP$40:$BP$40</f>
        <v>6.3127893409212849E-2</v>
      </c>
      <c r="I9" s="51">
        <f>'C2 lossyG,lossyA,intra'!$BQ$40:$BQ$40</f>
        <v>-1.931695375025716E-3</v>
      </c>
      <c r="J9" s="51">
        <f>'C2 lossyG,lossyA,intra'!$BR$40:$BR$40</f>
        <v>8.5146040114925103E-4</v>
      </c>
      <c r="K9" s="51">
        <f>'C2 lossyG,lossyA,intra'!$BS$40:$BS$40</f>
        <v>-8.8616248890333871E-3</v>
      </c>
      <c r="L9" s="51">
        <f>'C2 lossyG,lossyA,intra'!$BT$40:$BT$40</f>
        <v>-1.0348595590696286E-2</v>
      </c>
    </row>
    <row r="10" spans="2:12">
      <c r="B10" t="s">
        <v>17</v>
      </c>
      <c r="C10" s="51">
        <f>'C2 lossyG,lossyA,intra'!$BJ$41:$BJ$41</f>
        <v>-1.0565718238762067E-2</v>
      </c>
      <c r="D10" s="51">
        <f>'C2 lossyG,lossyA,intra'!$BK$41:$BK$41</f>
        <v>-9.7505269503266323E-3</v>
      </c>
      <c r="E10" s="51">
        <f>'C2 lossyG,lossyA,intra'!$BL$41:$BL$41</f>
        <v>4.151407593533385E-5</v>
      </c>
      <c r="F10" s="51">
        <f>'C2 lossyG,lossyA,intra'!$BM$41:$BM$41</f>
        <v>9.196909945139442E-4</v>
      </c>
      <c r="G10" s="51">
        <f>'C2 lossyG,lossyA,intra'!$BN$41:$BN$41</f>
        <v>7.7576210766561182E-4</v>
      </c>
      <c r="H10" s="51">
        <f>'C2 lossyG,lossyA,intra'!$BP$41:$BP$41</f>
        <v>-2.708600684439233E-3</v>
      </c>
      <c r="I10" s="51">
        <f>'C2 lossyG,lossyA,intra'!$BQ$41:$BQ$41</f>
        <v>-2.3673731580140522E-3</v>
      </c>
      <c r="J10" s="51">
        <f>'C2 lossyG,lossyA,intra'!$BR$41:$BR$41</f>
        <v>-2.041798923647975E-3</v>
      </c>
      <c r="K10" s="51">
        <f>'C2 lossyG,lossyA,intra'!$BS$41:$BS$41</f>
        <v>-1.0129150865314518E-3</v>
      </c>
      <c r="L10" s="51">
        <f>'C2 lossyG,lossyA,intra'!$BT$41:$BT$41</f>
        <v>-1.2377549279708466E-3</v>
      </c>
    </row>
    <row r="11" spans="2:12">
      <c r="B11" t="s">
        <v>18</v>
      </c>
      <c r="C11" s="51">
        <f>'C2 lossyG,lossyA,intra'!$BJ$42:$BJ$42</f>
        <v>-5.1333016784892993E-3</v>
      </c>
      <c r="D11" s="51">
        <f>'C2 lossyG,lossyA,intra'!$BK$42:$BK$42</f>
        <v>-4.6483353012365392E-3</v>
      </c>
      <c r="E11" s="51">
        <f>'C2 lossyG,lossyA,intra'!$BL$42:$BL$42</f>
        <v>5.3832828737443439E-5</v>
      </c>
      <c r="F11" s="51">
        <f>'C2 lossyG,lossyA,intra'!$BM$42:$BM$42</f>
        <v>-2.4277078779649797E-4</v>
      </c>
      <c r="G11" s="51">
        <f>'C2 lossyG,lossyA,intra'!$BN$42:$BN$42</f>
        <v>2.2436556347761316E-3</v>
      </c>
      <c r="H11" s="51">
        <f>'C2 lossyG,lossyA,intra'!$BP$42:$BP$42</f>
        <v>-2.4049044994709501E-3</v>
      </c>
      <c r="I11" s="51">
        <f>'C2 lossyG,lossyA,intra'!$BQ$42:$BQ$42</f>
        <v>-1.8755176587272326E-3</v>
      </c>
      <c r="J11" s="51">
        <f>'C2 lossyG,lossyA,intra'!$BR$42:$BR$42</f>
        <v>-2.2943734895017887E-3</v>
      </c>
      <c r="K11" s="51">
        <f>'C2 lossyG,lossyA,intra'!$BS$42:$BS$42</f>
        <v>-2.1477574044141967E-3</v>
      </c>
      <c r="L11" s="51">
        <f>'C2 lossyG,lossyA,intra'!$BT$42:$BT$42</f>
        <v>-7.9536435980420706E-4</v>
      </c>
    </row>
    <row r="12" spans="2:12">
      <c r="B12" s="4" t="s">
        <v>19</v>
      </c>
      <c r="C12" s="5">
        <f>'C2 lossyG,lossyA,intra'!$BJ$43:$BJ$43</f>
        <v>1.0055640540916186E-2</v>
      </c>
      <c r="D12" s="5">
        <f>'C2 lossyG,lossyA,intra'!$BK$43:$BK$43</f>
        <v>-6.3121133679538187E-3</v>
      </c>
      <c r="E12" s="5">
        <f>'C2 lossyG,lossyA,intra'!$BL$43:$BL$43</f>
        <v>2.8970073618308184E-3</v>
      </c>
      <c r="F12" s="5">
        <f>'C2 lossyG,lossyA,intra'!$BM$43:$BM$43</f>
        <v>-3.7149774244114981E-3</v>
      </c>
      <c r="G12" s="5">
        <f>'C2 lossyG,lossyA,intra'!$BN$43:$BN$43</f>
        <v>-3.9356565463425364E-3</v>
      </c>
      <c r="H12" s="5">
        <f>'C2 lossyG,lossyA,intra'!$BP$43:$BP$43</f>
        <v>3.4999023421924326E-2</v>
      </c>
      <c r="I12" s="5">
        <f>'C2 lossyG,lossyA,intra'!$BQ$43:$BQ$43</f>
        <v>-1.977884282224483E-3</v>
      </c>
      <c r="J12" s="5">
        <f>'C2 lossyG,lossyA,intra'!$BR$43:$BR$43</f>
        <v>-4.6067204257922115E-4</v>
      </c>
      <c r="K12" s="5">
        <f>'C2 lossyG,lossyA,intra'!$BS$43:$BS$43</f>
        <v>-5.8221327787847709E-3</v>
      </c>
      <c r="L12" s="5">
        <f>'C2 lossyG,lossyA,intra'!$BT$43:$BT$43</f>
        <v>-6.3175522871949151E-3</v>
      </c>
    </row>
    <row r="13" spans="2:12">
      <c r="B13" t="s">
        <v>20</v>
      </c>
      <c r="C13" s="70">
        <f>'C2 lossyG,lossyA,intra'!AZ47</f>
        <v>0.99626436972610011</v>
      </c>
      <c r="D13" s="62"/>
      <c r="E13" s="62"/>
      <c r="F13" s="62"/>
      <c r="G13" s="62"/>
      <c r="H13" s="62"/>
      <c r="I13" s="62"/>
      <c r="J13" s="62"/>
      <c r="K13" s="62"/>
      <c r="L13" s="62"/>
    </row>
    <row r="14" spans="2:12">
      <c r="B14" s="54" t="s">
        <v>21</v>
      </c>
      <c r="C14" s="71">
        <f>'C2 lossyG,lossyA,intra'!BB47</f>
        <v>1.0276879369989582</v>
      </c>
      <c r="D14" s="65"/>
      <c r="E14" s="65"/>
      <c r="F14" s="65"/>
      <c r="G14" s="65"/>
      <c r="H14" s="65"/>
      <c r="I14" s="65"/>
      <c r="J14" s="65"/>
      <c r="K14" s="65"/>
      <c r="L14" s="65"/>
    </row>
    <row r="16" spans="2:12">
      <c r="B16" s="64" t="s">
        <v>22</v>
      </c>
      <c r="C16" s="66" t="s">
        <v>23</v>
      </c>
      <c r="D16" s="67"/>
      <c r="E16" s="67"/>
    </row>
    <row r="17" spans="2:5">
      <c r="B17" s="62"/>
      <c r="C17" s="68" t="s">
        <v>24</v>
      </c>
      <c r="D17" s="62"/>
      <c r="E17" s="62"/>
    </row>
    <row r="18" spans="2:5" ht="16">
      <c r="B18" s="65"/>
      <c r="C18" s="2" t="s">
        <v>25</v>
      </c>
      <c r="D18" s="2" t="s">
        <v>26</v>
      </c>
      <c r="E18" s="2" t="s">
        <v>27</v>
      </c>
    </row>
    <row r="19" spans="2:5">
      <c r="B19" t="s">
        <v>16</v>
      </c>
      <c r="C19" s="51">
        <f>'CW losslG,losslA,intra'!BC12</f>
        <v>0.99933196444008188</v>
      </c>
      <c r="D19" s="51">
        <f>'CW losslG,losslA,intra'!BE12</f>
        <v>1</v>
      </c>
      <c r="E19" s="51">
        <f>'CW losslG,losslA,intra'!BB12</f>
        <v>0.99989983288954176</v>
      </c>
    </row>
    <row r="20" spans="2:5">
      <c r="B20" t="s">
        <v>17</v>
      </c>
      <c r="C20" s="51">
        <f>'CW losslG,losslA,intra'!BC13</f>
        <v>0.99943689022257842</v>
      </c>
      <c r="D20" s="51">
        <f>'CW losslG,losslA,intra'!BE13</f>
        <v>1</v>
      </c>
      <c r="E20" s="51">
        <f>'CW losslG,losslA,intra'!BB13</f>
        <v>0.99994390933504917</v>
      </c>
    </row>
    <row r="21" spans="2:5">
      <c r="B21" t="s">
        <v>18</v>
      </c>
      <c r="C21" s="51">
        <f>'CW losslG,losslA,intra'!BC14</f>
        <v>0.99973796689118832</v>
      </c>
      <c r="D21" s="51">
        <f>'CW losslG,losslA,intra'!BE14</f>
        <v>1</v>
      </c>
      <c r="E21" s="51">
        <f>'CW losslG,losslA,intra'!BB14</f>
        <v>0.99996973997964711</v>
      </c>
    </row>
    <row r="22" spans="2:5">
      <c r="B22" s="4" t="s">
        <v>19</v>
      </c>
      <c r="C22" s="5">
        <f>'CW losslG,losslA,intra'!BC15</f>
        <v>0.99951118958660645</v>
      </c>
      <c r="D22" s="5">
        <f>'CW losslG,losslA,intra'!BE15</f>
        <v>1</v>
      </c>
      <c r="E22" s="5">
        <f>'CW losslG,losslA,intra'!BB15</f>
        <v>0.9999378194076749</v>
      </c>
    </row>
    <row r="23" spans="2:5">
      <c r="B23" t="s">
        <v>20</v>
      </c>
      <c r="C23" s="70">
        <f>'CW losslG,losslA,intra'!AW19</f>
        <v>1.0105846924587463</v>
      </c>
      <c r="D23" s="62"/>
      <c r="E23" s="62"/>
    </row>
    <row r="24" spans="2:5">
      <c r="B24" s="54" t="s">
        <v>21</v>
      </c>
      <c r="C24" s="71">
        <f>'CW losslG,losslA,intra'!AY19</f>
        <v>0.98987766038150427</v>
      </c>
      <c r="D24" s="65"/>
      <c r="E24" s="65"/>
    </row>
    <row r="26" spans="2:5" s="1" customFormat="1">
      <c r="B26" s="1" t="s">
        <v>28</v>
      </c>
    </row>
    <row r="28" spans="2:5">
      <c r="B28" s="64" t="s">
        <v>29</v>
      </c>
      <c r="C28" s="66" t="s">
        <v>30</v>
      </c>
      <c r="D28" s="67"/>
      <c r="E28" s="67"/>
    </row>
    <row r="29" spans="2:5">
      <c r="B29" s="62"/>
      <c r="C29" s="68" t="s">
        <v>24</v>
      </c>
      <c r="D29" s="62"/>
      <c r="E29" s="62"/>
    </row>
    <row r="30" spans="2:5" ht="16">
      <c r="B30" s="65"/>
      <c r="C30" s="2" t="s">
        <v>25</v>
      </c>
      <c r="D30" s="2" t="s">
        <v>26</v>
      </c>
      <c r="E30" s="2" t="s">
        <v>27</v>
      </c>
    </row>
    <row r="31" spans="2:5">
      <c r="B31" t="s">
        <v>16</v>
      </c>
      <c r="C31" s="51">
        <f>'CW losslG,losslA,interLD'!BC12</f>
        <v>0.99925405727349204</v>
      </c>
      <c r="D31" s="51">
        <f>'CW losslG,losslA,interLD'!BE12</f>
        <v>1</v>
      </c>
      <c r="E31" s="51">
        <f>'CW losslG,losslA,interLD'!BB12</f>
        <v>0.99989543827066096</v>
      </c>
    </row>
    <row r="32" spans="2:5">
      <c r="B32" t="s">
        <v>17</v>
      </c>
      <c r="C32" s="51">
        <f>'CW losslG,losslA,interLD'!BC13</f>
        <v>0.99939578181757061</v>
      </c>
      <c r="D32" s="51">
        <f>'CW losslG,losslA,interLD'!BE13</f>
        <v>1</v>
      </c>
      <c r="E32" s="51">
        <f>'CW losslG,losslA,interLD'!BB13</f>
        <v>0.99993943069435165</v>
      </c>
    </row>
    <row r="33" spans="2:12">
      <c r="B33" t="s">
        <v>18</v>
      </c>
      <c r="C33" s="51" t="e">
        <f>'CW losslG,losslA,interLD'!BC14</f>
        <v>#DIV/0!</v>
      </c>
      <c r="D33" s="51" t="e">
        <f>'CW losslG,losslA,interLD'!BE14</f>
        <v>#DIV/0!</v>
      </c>
      <c r="E33" s="51" t="e">
        <f>'CW losslG,losslA,interLD'!BB14</f>
        <v>#DIV/0!</v>
      </c>
    </row>
    <row r="34" spans="2:12">
      <c r="B34" s="4" t="s">
        <v>19</v>
      </c>
      <c r="C34" s="5">
        <f>'CW losslG,losslA,interLD'!BC15</f>
        <v>0.79319990185323741</v>
      </c>
      <c r="D34" s="5">
        <f>'CW losslG,losslA,interLD'!BE15</f>
        <v>0.747849009320672</v>
      </c>
      <c r="E34" s="5">
        <f>'CW losslG,losslA,interLD'!BB15</f>
        <v>0.75346734763285494</v>
      </c>
    </row>
    <row r="35" spans="2:12">
      <c r="B35" t="s">
        <v>20</v>
      </c>
      <c r="C35" s="70">
        <f>'CW losslG,losslA,interLD'!AW19</f>
        <v>1.0239506512196195</v>
      </c>
      <c r="D35" s="62"/>
      <c r="E35" s="62"/>
    </row>
    <row r="36" spans="2:12">
      <c r="B36" s="54" t="s">
        <v>21</v>
      </c>
      <c r="C36" s="71">
        <f>'CW losslG,losslA,interLD'!AY19</f>
        <v>0.68989038328079733</v>
      </c>
      <c r="D36" s="65"/>
      <c r="E36" s="65"/>
    </row>
    <row r="38" spans="2:12" s="1" customFormat="1">
      <c r="B38" s="1" t="s">
        <v>31</v>
      </c>
    </row>
    <row r="40" spans="2:12">
      <c r="B40" s="64" t="s">
        <v>32</v>
      </c>
      <c r="C40" s="66" t="s">
        <v>33</v>
      </c>
      <c r="D40" s="67"/>
      <c r="E40" s="67"/>
      <c r="F40" s="67"/>
      <c r="G40" s="67"/>
      <c r="H40" s="67"/>
      <c r="I40" s="67"/>
      <c r="J40" s="67"/>
      <c r="K40" s="67"/>
      <c r="L40" s="67"/>
    </row>
    <row r="41" spans="2:12">
      <c r="B41" s="62"/>
      <c r="C41" s="68" t="s">
        <v>7</v>
      </c>
      <c r="D41" s="62"/>
      <c r="E41" s="69" t="s">
        <v>8</v>
      </c>
      <c r="F41" s="62"/>
      <c r="G41" s="62"/>
      <c r="H41" s="68" t="s">
        <v>9</v>
      </c>
      <c r="I41" s="62"/>
      <c r="J41" s="69" t="s">
        <v>10</v>
      </c>
      <c r="K41" s="62"/>
      <c r="L41" s="62"/>
    </row>
    <row r="42" spans="2:12" ht="16">
      <c r="B42" s="65"/>
      <c r="C42" s="2" t="s">
        <v>11</v>
      </c>
      <c r="D42" s="2" t="s">
        <v>12</v>
      </c>
      <c r="E42" s="3" t="s">
        <v>13</v>
      </c>
      <c r="F42" s="3" t="s">
        <v>14</v>
      </c>
      <c r="G42" s="3" t="s">
        <v>15</v>
      </c>
      <c r="H42" s="2" t="s">
        <v>11</v>
      </c>
      <c r="I42" s="2" t="s">
        <v>12</v>
      </c>
      <c r="J42" s="3" t="s">
        <v>13</v>
      </c>
      <c r="K42" s="3" t="s">
        <v>14</v>
      </c>
      <c r="L42" s="3" t="s">
        <v>15</v>
      </c>
    </row>
    <row r="43" spans="2:12">
      <c r="B43" t="s">
        <v>16</v>
      </c>
      <c r="C43" s="51">
        <f>'C2 lossyG,lossyA,interRA'!$BJ$40:$BJ$40</f>
        <v>2.8324046827355509E-2</v>
      </c>
      <c r="D43" s="51">
        <f>'C2 lossyG,lossyA,interRA'!$BK$40:$BK$40</f>
        <v>-7.3289454558356226E-4</v>
      </c>
      <c r="E43" s="51">
        <f>'C2 lossyG,lossyA,interRA'!$BL$40:$BL$40</f>
        <v>-3.9329958881885729E-3</v>
      </c>
      <c r="F43" s="51">
        <f>'C2 lossyG,lossyA,interRA'!$BM$40:$BM$40</f>
        <v>-5.4911016298261339E-3</v>
      </c>
      <c r="G43" s="51">
        <f>'C2 lossyG,lossyA,interRA'!$BN$40:$BN$40</f>
        <v>-1.2649370898510037E-2</v>
      </c>
      <c r="H43" s="51">
        <f>'C2 lossyG,lossyA,interRA'!$BP$40:$BP$40</f>
        <v>5.9210731139377609E-2</v>
      </c>
      <c r="I43" s="51">
        <f>'C2 lossyG,lossyA,interRA'!$BQ$40:$BQ$40</f>
        <v>1.4360046258626857E-3</v>
      </c>
      <c r="J43" s="51">
        <f>'C2 lossyG,lossyA,interRA'!$BR$40:$BR$40</f>
        <v>-4.0142345667204538E-3</v>
      </c>
      <c r="K43" s="51">
        <f>'C2 lossyG,lossyA,interRA'!$BS$40:$BS$40</f>
        <v>-7.2839838303180304E-3</v>
      </c>
      <c r="L43" s="51">
        <f>'C2 lossyG,lossyA,interRA'!$BT$40:$BT$40</f>
        <v>-1.1491038675604553E-2</v>
      </c>
    </row>
    <row r="44" spans="2:12">
      <c r="B44" t="s">
        <v>17</v>
      </c>
      <c r="C44" s="51">
        <f>'C2 lossyG,lossyA,interRA'!$BJ$41:$BJ$41</f>
        <v>-5.2582902978909329E-3</v>
      </c>
      <c r="D44" s="51">
        <f>'C2 lossyG,lossyA,interRA'!$BK$41:$BK$41</f>
        <v>-4.8612829018710446E-3</v>
      </c>
      <c r="E44" s="51">
        <f>'C2 lossyG,lossyA,interRA'!$BL$41:$BL$41</f>
        <v>-2.6959069535559266E-4</v>
      </c>
      <c r="F44" s="51">
        <f>'C2 lossyG,lossyA,interRA'!$BM$41:$BM$41</f>
        <v>-7.9207025183631874E-3</v>
      </c>
      <c r="G44" s="51">
        <f>'C2 lossyG,lossyA,interRA'!$BN$41:$BN$41</f>
        <v>-3.7052872889761224E-3</v>
      </c>
      <c r="H44" s="51">
        <f>'C2 lossyG,lossyA,interRA'!$BP$41:$BP$41</f>
        <v>1.6764534255724328E-3</v>
      </c>
      <c r="I44" s="51">
        <f>'C2 lossyG,lossyA,interRA'!$BQ$41:$BQ$41</f>
        <v>2.3529109477540278E-3</v>
      </c>
      <c r="J44" s="51">
        <f>'C2 lossyG,lossyA,interRA'!$BR$41:$BR$41</f>
        <v>-3.4122159303344723E-3</v>
      </c>
      <c r="K44" s="51">
        <f>'C2 lossyG,lossyA,interRA'!$BS$41:$BS$41</f>
        <v>-9.3542380963698157E-3</v>
      </c>
      <c r="L44" s="51">
        <f>'C2 lossyG,lossyA,interRA'!$BT$41:$BT$41</f>
        <v>-5.9709376515257873E-3</v>
      </c>
    </row>
    <row r="45" spans="2:12">
      <c r="B45" t="s">
        <v>18</v>
      </c>
      <c r="C45" s="51">
        <f>'C2 lossyG,lossyA,interRA'!$BJ$42:$BJ$42</f>
        <v>-5.7066329173185992E-3</v>
      </c>
      <c r="D45" s="51">
        <f>'C2 lossyG,lossyA,interRA'!$BK$42:$BK$42</f>
        <v>-5.7092976595391476E-3</v>
      </c>
      <c r="E45" s="51">
        <f>'C2 lossyG,lossyA,interRA'!$BL$42:$BL$42</f>
        <v>-3.0230762903776798E-4</v>
      </c>
      <c r="F45" s="51">
        <f>'C2 lossyG,lossyA,interRA'!$BM$42:$BM$42</f>
        <v>-6.9514928248499142E-3</v>
      </c>
      <c r="G45" s="51">
        <f>'C2 lossyG,lossyA,interRA'!$BN$42:$BN$42</f>
        <v>5.9373431284358569E-3</v>
      </c>
      <c r="H45" s="51">
        <f>'C2 lossyG,lossyA,interRA'!$BP$42:$BP$42</f>
        <v>-3.9513523629675085E-3</v>
      </c>
      <c r="I45" s="51">
        <f>'C2 lossyG,lossyA,interRA'!$BQ$42:$BQ$42</f>
        <v>-4.0829929580862845E-3</v>
      </c>
      <c r="J45" s="51">
        <f>'C2 lossyG,lossyA,interRA'!$BR$42:$BR$42</f>
        <v>-3.5632361513577848E-3</v>
      </c>
      <c r="K45" s="51">
        <f>'C2 lossyG,lossyA,interRA'!$BS$42:$BS$42</f>
        <v>-7.9309566048524904E-3</v>
      </c>
      <c r="L45" s="51">
        <f>'C2 lossyG,lossyA,interRA'!$BT$42:$BT$42</f>
        <v>-1.9474779516634455E-3</v>
      </c>
    </row>
    <row r="46" spans="2:12">
      <c r="B46" s="4" t="s">
        <v>19</v>
      </c>
      <c r="C46" s="5">
        <f>'C2 lossyG,lossyA,interRA'!$BJ$43:$BJ$43</f>
        <v>1.3803518739556273E-2</v>
      </c>
      <c r="D46" s="5">
        <f>'C2 lossyG,lossyA,interRA'!$BK$43:$BK$43</f>
        <v>-2.7444937718976554E-3</v>
      </c>
      <c r="E46" s="5">
        <f>'C2 lossyG,lossyA,interRA'!$BL$43:$BL$43</f>
        <v>-2.3723127865979171E-3</v>
      </c>
      <c r="F46" s="5">
        <f>'C2 lossyG,lossyA,interRA'!$BM$43:$BM$43</f>
        <v>-6.2554420981953641E-3</v>
      </c>
      <c r="G46" s="5">
        <f>'C2 lossyG,lossyA,interRA'!$BN$43:$BN$43</f>
        <v>-6.0611549465920799E-3</v>
      </c>
      <c r="H46" s="5">
        <f>'C2 lossyG,lossyA,interRA'!$BP$43:$BP$43</f>
        <v>3.2945239036735408E-2</v>
      </c>
      <c r="I46" s="5">
        <f>'C2 lossyG,lossyA,interRA'!$BQ$43:$BQ$43</f>
        <v>-9.8652092811140379E-6</v>
      </c>
      <c r="J46" s="5">
        <f>'C2 lossyG,lossyA,interRA'!$BR$43:$BR$43</f>
        <v>-3.7993752142759796E-3</v>
      </c>
      <c r="K46" s="5">
        <f>'C2 lossyG,lossyA,interRA'!$BS$43:$BS$43</f>
        <v>-7.7645838039067027E-3</v>
      </c>
      <c r="L46" s="5">
        <f>'C2 lossyG,lossyA,interRA'!$BT$43:$BT$43</f>
        <v>-7.975721179610127E-3</v>
      </c>
    </row>
    <row r="47" spans="2:12">
      <c r="B47" t="s">
        <v>20</v>
      </c>
      <c r="C47" s="70">
        <f>'C2 lossyG,lossyA,interRA'!AZ47</f>
        <v>0.98119982669177574</v>
      </c>
      <c r="D47" s="62"/>
      <c r="E47" s="62"/>
      <c r="F47" s="62"/>
      <c r="G47" s="62"/>
      <c r="H47" s="62"/>
      <c r="I47" s="62"/>
      <c r="J47" s="62"/>
      <c r="K47" s="62"/>
      <c r="L47" s="62"/>
    </row>
    <row r="48" spans="2:12">
      <c r="B48" s="54" t="s">
        <v>21</v>
      </c>
      <c r="C48" s="71">
        <f>'C2 lossyG,lossyA,interRA'!BB47</f>
        <v>1.0208266827528591</v>
      </c>
      <c r="D48" s="65"/>
      <c r="E48" s="65"/>
      <c r="F48" s="65"/>
      <c r="G48" s="65"/>
      <c r="H48" s="65"/>
      <c r="I48" s="65"/>
      <c r="J48" s="65"/>
      <c r="K48" s="65"/>
      <c r="L48" s="65"/>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cols>
    <col min="1" max="1" width="12.6640625" style="53" customWidth="1"/>
    <col min="2" max="2" width="24.6640625" style="53" customWidth="1"/>
    <col min="4" max="4" width="24.6640625" style="53" customWidth="1"/>
    <col min="9" max="9" width="16.6640625" style="53" customWidth="1"/>
  </cols>
  <sheetData>
    <row r="1" spans="1:16">
      <c r="A1" t="s">
        <v>34</v>
      </c>
      <c r="B1" s="6" t="str">
        <f>M1</f>
        <v>C2 lossyG,lossyA,intra</v>
      </c>
      <c r="C1" t="s">
        <v>35</v>
      </c>
      <c r="I1" t="s">
        <v>36</v>
      </c>
      <c r="M1" t="s">
        <v>37</v>
      </c>
      <c r="N1" t="s">
        <v>38</v>
      </c>
      <c r="O1" t="s">
        <v>39</v>
      </c>
      <c r="P1" t="s">
        <v>40</v>
      </c>
    </row>
    <row r="2" spans="1:16">
      <c r="A2" t="s">
        <v>41</v>
      </c>
      <c r="B2" s="6" t="str">
        <f>HLOOKUP(B1,M1:ZZ3,3,0)</f>
        <v>8ivfbv2_loot_vox10</v>
      </c>
      <c r="C2" t="s">
        <v>42</v>
      </c>
      <c r="I2" t="s">
        <v>43</v>
      </c>
      <c r="J2" t="s">
        <v>44</v>
      </c>
      <c r="M2" t="s">
        <v>45</v>
      </c>
      <c r="N2" t="s">
        <v>46</v>
      </c>
      <c r="O2" t="s">
        <v>47</v>
      </c>
      <c r="P2" t="s">
        <v>48</v>
      </c>
    </row>
    <row r="3" spans="1:16">
      <c r="I3" t="s">
        <v>49</v>
      </c>
      <c r="J3" t="s">
        <v>50</v>
      </c>
      <c r="M3" t="s">
        <v>51</v>
      </c>
      <c r="N3" t="s">
        <v>51</v>
      </c>
      <c r="O3" t="s">
        <v>51</v>
      </c>
      <c r="P3" t="s">
        <v>51</v>
      </c>
    </row>
    <row r="4" spans="1:16">
      <c r="A4" t="s">
        <v>52</v>
      </c>
      <c r="B4" s="6" t="s">
        <v>53</v>
      </c>
      <c r="C4" t="s">
        <v>54</v>
      </c>
      <c r="D4" s="6" t="s">
        <v>55</v>
      </c>
      <c r="E4" t="s">
        <v>56</v>
      </c>
      <c r="I4" t="s">
        <v>57</v>
      </c>
      <c r="J4" t="s">
        <v>58</v>
      </c>
      <c r="M4" t="s">
        <v>59</v>
      </c>
      <c r="N4" t="s">
        <v>59</v>
      </c>
      <c r="O4" t="s">
        <v>59</v>
      </c>
      <c r="P4" t="s">
        <v>59</v>
      </c>
    </row>
    <row r="5" spans="1:16">
      <c r="A5" t="s">
        <v>52</v>
      </c>
      <c r="B5" s="6" t="s">
        <v>53</v>
      </c>
      <c r="C5" t="s">
        <v>54</v>
      </c>
      <c r="D5" s="6" t="s">
        <v>60</v>
      </c>
      <c r="E5" t="s">
        <v>61</v>
      </c>
      <c r="I5" t="s">
        <v>62</v>
      </c>
      <c r="J5" t="s">
        <v>63</v>
      </c>
      <c r="M5" t="s">
        <v>64</v>
      </c>
      <c r="N5" t="s">
        <v>64</v>
      </c>
      <c r="O5" t="s">
        <v>64</v>
      </c>
      <c r="P5" t="s">
        <v>64</v>
      </c>
    </row>
    <row r="6" spans="1:16">
      <c r="A6" t="s">
        <v>52</v>
      </c>
      <c r="B6" s="6" t="s">
        <v>65</v>
      </c>
      <c r="C6" t="s">
        <v>54</v>
      </c>
      <c r="D6" s="6" t="s">
        <v>66</v>
      </c>
      <c r="E6" t="s">
        <v>67</v>
      </c>
      <c r="I6" t="s">
        <v>68</v>
      </c>
      <c r="J6" t="s">
        <v>69</v>
      </c>
      <c r="M6" t="s">
        <v>70</v>
      </c>
      <c r="N6" t="s">
        <v>70</v>
      </c>
      <c r="O6" t="s">
        <v>70</v>
      </c>
      <c r="P6" t="s">
        <v>70</v>
      </c>
    </row>
    <row r="7" spans="1:16">
      <c r="A7" t="s">
        <v>52</v>
      </c>
      <c r="B7" s="6" t="s">
        <v>65</v>
      </c>
      <c r="C7" t="s">
        <v>54</v>
      </c>
      <c r="D7" s="6" t="s">
        <v>49</v>
      </c>
      <c r="E7" t="s">
        <v>71</v>
      </c>
      <c r="I7" t="s">
        <v>55</v>
      </c>
      <c r="J7" t="s">
        <v>72</v>
      </c>
      <c r="M7" t="s">
        <v>73</v>
      </c>
      <c r="N7" t="s">
        <v>73</v>
      </c>
      <c r="O7" t="s">
        <v>73</v>
      </c>
      <c r="P7" t="s">
        <v>73</v>
      </c>
    </row>
    <row r="8" spans="1:16">
      <c r="A8" t="s">
        <v>52</v>
      </c>
      <c r="B8" s="6" t="s">
        <v>65</v>
      </c>
      <c r="C8" t="s">
        <v>54</v>
      </c>
      <c r="D8" s="6" t="s">
        <v>62</v>
      </c>
      <c r="E8" t="s">
        <v>74</v>
      </c>
      <c r="I8" t="s">
        <v>75</v>
      </c>
      <c r="J8" t="s">
        <v>76</v>
      </c>
      <c r="M8" t="s">
        <v>77</v>
      </c>
      <c r="N8" t="s">
        <v>77</v>
      </c>
      <c r="O8" t="s">
        <v>77</v>
      </c>
      <c r="P8" t="s">
        <v>77</v>
      </c>
    </row>
    <row r="9" spans="1:16">
      <c r="A9" t="s">
        <v>52</v>
      </c>
      <c r="B9" s="6" t="s">
        <v>78</v>
      </c>
      <c r="C9" t="s">
        <v>54</v>
      </c>
      <c r="D9" s="6" t="s">
        <v>79</v>
      </c>
      <c r="E9" t="s">
        <v>80</v>
      </c>
      <c r="I9" t="s">
        <v>60</v>
      </c>
      <c r="J9" t="s">
        <v>81</v>
      </c>
      <c r="M9" t="s">
        <v>82</v>
      </c>
      <c r="N9" t="s">
        <v>82</v>
      </c>
      <c r="O9" t="s">
        <v>82</v>
      </c>
      <c r="P9" t="s">
        <v>82</v>
      </c>
    </row>
    <row r="10" spans="1:16">
      <c r="I10" t="s">
        <v>83</v>
      </c>
      <c r="J10" t="s">
        <v>84</v>
      </c>
    </row>
    <row r="11" spans="1:16">
      <c r="I11" t="s">
        <v>85</v>
      </c>
      <c r="J11" t="s">
        <v>86</v>
      </c>
    </row>
    <row r="12" spans="1:16">
      <c r="I12" t="s">
        <v>87</v>
      </c>
      <c r="J12" t="s">
        <v>88</v>
      </c>
    </row>
    <row r="13" spans="1:16">
      <c r="I13" t="s">
        <v>89</v>
      </c>
      <c r="J13" t="s">
        <v>90</v>
      </c>
    </row>
    <row r="14" spans="1:16">
      <c r="I14" t="s">
        <v>91</v>
      </c>
      <c r="J14" t="s">
        <v>92</v>
      </c>
    </row>
    <row r="15" spans="1:16">
      <c r="I15" t="s">
        <v>93</v>
      </c>
      <c r="J15" t="s">
        <v>94</v>
      </c>
    </row>
    <row r="16" spans="1:16">
      <c r="I16" t="s">
        <v>95</v>
      </c>
      <c r="J16" t="s">
        <v>96</v>
      </c>
    </row>
    <row r="17" spans="9:10">
      <c r="I17" t="s">
        <v>79</v>
      </c>
      <c r="J17" t="s">
        <v>97</v>
      </c>
    </row>
    <row r="18" spans="9:10">
      <c r="I18" t="s">
        <v>98</v>
      </c>
      <c r="J18" t="s">
        <v>99</v>
      </c>
    </row>
    <row r="19" spans="9:10">
      <c r="I19" t="s">
        <v>100</v>
      </c>
      <c r="J19" t="s">
        <v>101</v>
      </c>
    </row>
    <row r="20" spans="9:10">
      <c r="I20" t="s">
        <v>102</v>
      </c>
      <c r="J20" t="s">
        <v>103</v>
      </c>
    </row>
    <row r="21" spans="9:10">
      <c r="I21" t="s">
        <v>104</v>
      </c>
      <c r="J21" t="s">
        <v>105</v>
      </c>
    </row>
    <row r="22" spans="9:10">
      <c r="I22" t="s">
        <v>66</v>
      </c>
      <c r="J22" t="s">
        <v>106</v>
      </c>
    </row>
    <row r="23" spans="9:10">
      <c r="I23" t="s">
        <v>107</v>
      </c>
      <c r="J23" t="s">
        <v>108</v>
      </c>
    </row>
    <row r="24" spans="9:10">
      <c r="I24" t="s">
        <v>109</v>
      </c>
      <c r="J24" t="s">
        <v>110</v>
      </c>
    </row>
    <row r="25" spans="9:10">
      <c r="I25" t="s">
        <v>111</v>
      </c>
      <c r="J25" t="s">
        <v>112</v>
      </c>
    </row>
    <row r="26" spans="9:10">
      <c r="I26" t="s">
        <v>113</v>
      </c>
      <c r="J26" t="s">
        <v>114</v>
      </c>
    </row>
    <row r="27" spans="9:10">
      <c r="I27" t="s">
        <v>115</v>
      </c>
      <c r="J27" t="s">
        <v>116</v>
      </c>
    </row>
    <row r="28" spans="9:10">
      <c r="I28" t="s">
        <v>117</v>
      </c>
      <c r="J28" t="s">
        <v>118</v>
      </c>
    </row>
    <row r="29" spans="9:10">
      <c r="I29" t="s">
        <v>119</v>
      </c>
      <c r="J29" t="s">
        <v>120</v>
      </c>
    </row>
    <row r="30" spans="9:10">
      <c r="I30" t="s">
        <v>121</v>
      </c>
      <c r="J30" t="s">
        <v>122</v>
      </c>
    </row>
    <row r="31" spans="9:10">
      <c r="I31" t="s">
        <v>123</v>
      </c>
      <c r="J31" t="s">
        <v>124</v>
      </c>
    </row>
    <row r="32" spans="9:10">
      <c r="I32" t="s">
        <v>125</v>
      </c>
      <c r="J32" t="s">
        <v>126</v>
      </c>
    </row>
    <row r="33" spans="9:10">
      <c r="I33" t="s">
        <v>127</v>
      </c>
      <c r="J33" t="s">
        <v>128</v>
      </c>
    </row>
    <row r="34" spans="9:10">
      <c r="I34" t="s">
        <v>129</v>
      </c>
      <c r="J34" t="s">
        <v>130</v>
      </c>
    </row>
    <row r="35" spans="9:10">
      <c r="I35" t="s">
        <v>65</v>
      </c>
      <c r="J35" t="s">
        <v>131</v>
      </c>
    </row>
    <row r="36" spans="9:10">
      <c r="I36" t="s">
        <v>53</v>
      </c>
      <c r="J36" t="s">
        <v>132</v>
      </c>
    </row>
    <row r="37" spans="9:10">
      <c r="I37" t="s">
        <v>133</v>
      </c>
      <c r="J37" t="s">
        <v>134</v>
      </c>
    </row>
    <row r="38" spans="9:10">
      <c r="I38" t="s">
        <v>78</v>
      </c>
      <c r="J38" t="s">
        <v>135</v>
      </c>
    </row>
    <row r="39" spans="9:10">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tabSelected="1" zoomScale="70" zoomScaleNormal="70" workbookViewId="0">
      <pane xSplit="2" ySplit="4" topLeftCell="U5" activePane="bottomRight" state="frozen"/>
      <selection pane="topRight" activeCell="C1" sqref="C1"/>
      <selection pane="bottomLeft" activeCell="A5" sqref="A5"/>
      <selection pane="bottomRight" activeCell="AG2" sqref="AG2:AG3"/>
    </sheetView>
  </sheetViews>
  <sheetFormatPr baseColWidth="10" defaultColWidth="8.83203125" defaultRowHeight="15" outlineLevelRow="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c r="A1" s="76" t="s">
        <v>138</v>
      </c>
      <c r="B1" s="62"/>
      <c r="C1" s="62"/>
      <c r="D1" s="62"/>
      <c r="E1" s="62"/>
      <c r="F1" s="62"/>
      <c r="G1" s="62"/>
      <c r="I1" s="61" t="s">
        <v>590</v>
      </c>
      <c r="J1" s="62"/>
      <c r="K1" s="62"/>
      <c r="L1" s="62"/>
      <c r="M1" s="62"/>
      <c r="N1" s="62"/>
      <c r="O1" s="62"/>
      <c r="P1" s="62"/>
      <c r="Q1" s="62"/>
      <c r="R1" s="62"/>
      <c r="S1" s="62"/>
      <c r="T1" s="62"/>
      <c r="U1" s="62"/>
      <c r="V1" s="62"/>
      <c r="W1" s="62"/>
      <c r="X1" s="62"/>
      <c r="Y1" s="62"/>
      <c r="Z1" s="62"/>
      <c r="AA1" s="62"/>
      <c r="AB1" s="62"/>
      <c r="AC1" s="62"/>
      <c r="AD1" s="62"/>
      <c r="AE1" s="62"/>
      <c r="AG1" s="63" t="s">
        <v>592</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c r="A2" s="72" t="s">
        <v>139</v>
      </c>
      <c r="B2" s="73" t="s">
        <v>140</v>
      </c>
      <c r="C2" s="72" t="s">
        <v>141</v>
      </c>
      <c r="D2" s="73" t="s">
        <v>142</v>
      </c>
      <c r="E2" s="72" t="s">
        <v>143</v>
      </c>
      <c r="F2" s="73" t="s">
        <v>144</v>
      </c>
      <c r="G2" s="72" t="s">
        <v>145</v>
      </c>
      <c r="I2" s="73" t="s">
        <v>146</v>
      </c>
      <c r="J2" s="74" t="s">
        <v>147</v>
      </c>
      <c r="K2" s="62"/>
      <c r="L2" s="62"/>
      <c r="M2" s="62"/>
      <c r="N2" s="72" t="s">
        <v>148</v>
      </c>
      <c r="O2" s="73" t="s">
        <v>149</v>
      </c>
      <c r="P2" s="72" t="s">
        <v>86</v>
      </c>
      <c r="Q2" s="73" t="s">
        <v>88</v>
      </c>
      <c r="R2" s="72" t="s">
        <v>84</v>
      </c>
      <c r="S2" s="75" t="s">
        <v>150</v>
      </c>
      <c r="T2" s="62"/>
      <c r="U2" s="62"/>
      <c r="V2" s="62"/>
      <c r="W2" s="74" t="s">
        <v>151</v>
      </c>
      <c r="X2" s="62"/>
      <c r="Y2" s="75" t="s">
        <v>152</v>
      </c>
      <c r="Z2" s="62"/>
      <c r="AA2" s="62"/>
      <c r="AB2" s="74" t="s">
        <v>153</v>
      </c>
      <c r="AC2" s="62"/>
      <c r="AD2" s="75" t="s">
        <v>154</v>
      </c>
      <c r="AE2" s="62"/>
      <c r="AG2" s="72" t="s">
        <v>146</v>
      </c>
      <c r="AH2" s="75" t="s">
        <v>147</v>
      </c>
      <c r="AI2" s="62"/>
      <c r="AJ2" s="62"/>
      <c r="AK2" s="62"/>
      <c r="AL2" s="73" t="s">
        <v>155</v>
      </c>
      <c r="AM2" s="72" t="s">
        <v>149</v>
      </c>
      <c r="AN2" s="73" t="s">
        <v>86</v>
      </c>
      <c r="AO2" s="72" t="s">
        <v>88</v>
      </c>
      <c r="AP2" s="73" t="s">
        <v>84</v>
      </c>
      <c r="AQ2" s="74" t="s">
        <v>150</v>
      </c>
      <c r="AR2" s="62"/>
      <c r="AS2" s="62"/>
      <c r="AT2" s="62"/>
      <c r="AU2" s="75" t="s">
        <v>151</v>
      </c>
      <c r="AV2" s="62"/>
      <c r="AW2" s="74" t="s">
        <v>152</v>
      </c>
      <c r="AX2" s="62"/>
      <c r="AY2" s="62"/>
      <c r="AZ2" s="75" t="s">
        <v>153</v>
      </c>
      <c r="BA2" s="62"/>
      <c r="BB2" s="74" t="s">
        <v>154</v>
      </c>
      <c r="BC2" s="62"/>
      <c r="BE2" s="73" t="s">
        <v>156</v>
      </c>
      <c r="BF2" s="72" t="s">
        <v>157</v>
      </c>
      <c r="BG2" s="73" t="s">
        <v>158</v>
      </c>
      <c r="BH2" s="72" t="s">
        <v>158</v>
      </c>
      <c r="BJ2" s="75" t="s">
        <v>7</v>
      </c>
      <c r="BK2" s="62"/>
      <c r="BL2" s="74" t="s">
        <v>8</v>
      </c>
      <c r="BM2" s="62"/>
      <c r="BN2" s="62"/>
      <c r="BP2" s="75" t="s">
        <v>9</v>
      </c>
      <c r="BQ2" s="62"/>
      <c r="BR2" s="74" t="s">
        <v>10</v>
      </c>
      <c r="BS2" s="62"/>
      <c r="BT2" s="62"/>
      <c r="BV2" s="73" t="s">
        <v>86</v>
      </c>
      <c r="BW2" s="72" t="s">
        <v>88</v>
      </c>
      <c r="BX2" s="73" t="s">
        <v>84</v>
      </c>
      <c r="BY2" s="74" t="s">
        <v>150</v>
      </c>
      <c r="BZ2" s="62"/>
      <c r="CA2" s="62"/>
      <c r="CB2" s="62"/>
      <c r="CC2" s="75" t="s">
        <v>151</v>
      </c>
      <c r="CD2" s="62"/>
      <c r="CE2" s="74" t="s">
        <v>152</v>
      </c>
      <c r="CF2" s="62"/>
      <c r="CG2" s="62"/>
    </row>
    <row r="3" spans="1:88" ht="33" thickBot="1">
      <c r="A3" s="65"/>
      <c r="B3" s="65"/>
      <c r="C3" s="65"/>
      <c r="D3" s="65"/>
      <c r="E3" s="65"/>
      <c r="F3" s="65"/>
      <c r="G3" s="65"/>
      <c r="I3" s="65"/>
      <c r="J3" s="56" t="s">
        <v>27</v>
      </c>
      <c r="K3" s="56" t="s">
        <v>25</v>
      </c>
      <c r="L3" s="56" t="s">
        <v>159</v>
      </c>
      <c r="M3" s="56" t="s">
        <v>160</v>
      </c>
      <c r="N3" s="65"/>
      <c r="O3" s="65"/>
      <c r="P3" s="65"/>
      <c r="Q3" s="65"/>
      <c r="R3" s="65"/>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5"/>
      <c r="AH3" s="57" t="s">
        <v>27</v>
      </c>
      <c r="AI3" s="57" t="s">
        <v>25</v>
      </c>
      <c r="AJ3" s="57" t="s">
        <v>159</v>
      </c>
      <c r="AK3" s="57" t="s">
        <v>160</v>
      </c>
      <c r="AL3" s="65"/>
      <c r="AM3" s="65"/>
      <c r="AN3" s="65"/>
      <c r="AO3" s="65"/>
      <c r="AP3" s="65"/>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5"/>
      <c r="BF3" s="65"/>
      <c r="BG3" s="65"/>
      <c r="BH3" s="65"/>
      <c r="BJ3" s="57" t="s">
        <v>11</v>
      </c>
      <c r="BK3" s="57" t="s">
        <v>12</v>
      </c>
      <c r="BL3" s="56" t="s">
        <v>13</v>
      </c>
      <c r="BM3" s="56" t="s">
        <v>14</v>
      </c>
      <c r="BN3" s="56" t="s">
        <v>15</v>
      </c>
      <c r="BP3" s="57" t="s">
        <v>11</v>
      </c>
      <c r="BQ3" s="57" t="s">
        <v>12</v>
      </c>
      <c r="BR3" s="56" t="s">
        <v>13</v>
      </c>
      <c r="BS3" s="56" t="s">
        <v>14</v>
      </c>
      <c r="BT3" s="56" t="s">
        <v>15</v>
      </c>
      <c r="BV3" s="65"/>
      <c r="BW3" s="65"/>
      <c r="BX3" s="65"/>
      <c r="BY3" s="60" t="s">
        <v>27</v>
      </c>
      <c r="BZ3" s="60" t="s">
        <v>159</v>
      </c>
      <c r="CA3" s="60" t="s">
        <v>161</v>
      </c>
      <c r="CB3" s="60" t="s">
        <v>26</v>
      </c>
      <c r="CC3" s="59" t="s">
        <v>11</v>
      </c>
      <c r="CD3" s="59" t="s">
        <v>12</v>
      </c>
      <c r="CE3" s="60" t="s">
        <v>13</v>
      </c>
      <c r="CF3" s="60" t="s">
        <v>14</v>
      </c>
      <c r="CG3" s="60" t="s">
        <v>15</v>
      </c>
    </row>
    <row r="4" spans="1:88" ht="123" hidden="1" customHeight="1">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c r="A5" s="52" t="s">
        <v>231</v>
      </c>
      <c r="B5" s="52" t="s">
        <v>51</v>
      </c>
      <c r="C5" s="9" t="s">
        <v>232</v>
      </c>
      <c r="D5" s="52">
        <v>238146391</v>
      </c>
      <c r="E5" s="9">
        <v>10</v>
      </c>
      <c r="F5" s="9">
        <v>32</v>
      </c>
      <c r="G5" s="9">
        <v>30</v>
      </c>
      <c r="I5" s="10">
        <f t="shared" ref="I5:I39" si="0">IF(OR(ISBLANK(S5),ISBLANK(G5)),"·",S5*G5/F5/1000000)</f>
        <v>2.1856575</v>
      </c>
      <c r="J5" s="11">
        <f t="shared" ref="J5:J39" si="1">IF(ISBLANK(S5),"·",S5/D5)</f>
        <v>9.7896423716956511E-3</v>
      </c>
      <c r="K5" s="11">
        <f t="shared" ref="K5:K39" si="2">IF(N5="","·",N5/D5)</f>
        <v>6.211103992753768E-3</v>
      </c>
      <c r="L5" s="11">
        <f t="shared" ref="L5:L39" si="3">IF(T5="","·",T5/D5)</f>
        <v>3.5272086067430685E-3</v>
      </c>
      <c r="M5" s="11">
        <f t="shared" ref="M5:M39" si="4">IF(ISBLANK(V5),"·",V5/D5)</f>
        <v>3.5785383789418835E-3</v>
      </c>
      <c r="N5" s="52">
        <f t="shared" ref="N5:N39" si="5">IF(OR(ISBLANK(T5),ISBLANK(U5)),"",T5+U5)</f>
        <v>1479152</v>
      </c>
      <c r="O5" s="11">
        <v>16</v>
      </c>
      <c r="P5" s="12">
        <v>21785839</v>
      </c>
      <c r="Q5" s="12">
        <v>680807.46875</v>
      </c>
      <c r="R5" s="12">
        <v>13493.8125</v>
      </c>
      <c r="S5" s="13">
        <v>2331368</v>
      </c>
      <c r="T5" s="13">
        <v>839992</v>
      </c>
      <c r="U5" s="13">
        <v>639160</v>
      </c>
      <c r="V5" s="13">
        <v>852216</v>
      </c>
      <c r="W5" s="14">
        <v>66.354628000000005</v>
      </c>
      <c r="X5" s="14">
        <v>68.478525000000005</v>
      </c>
      <c r="Y5" s="14">
        <v>32.104728000000001</v>
      </c>
      <c r="Z5" s="14">
        <v>44.160262000000003</v>
      </c>
      <c r="AA5" s="14">
        <v>43.841844000000002</v>
      </c>
      <c r="AB5" s="15">
        <v>3389.72</v>
      </c>
      <c r="AC5" s="15">
        <v>970.78300000000002</v>
      </c>
      <c r="AD5" s="15">
        <v>54.073999999999998</v>
      </c>
      <c r="AE5" s="15">
        <v>14.635</v>
      </c>
      <c r="AG5" s="10">
        <f t="shared" ref="AG5:AG39" si="6">IF(OR(ISBLANK(AQ5),ISBLANK(G5)),"·",AQ5*G5/F5/1000000)</f>
        <v>2.1746249999999998</v>
      </c>
      <c r="AH5" s="11">
        <f t="shared" ref="AH5:AH39" si="7">IF(ISBLANK(AQ5),"·",AQ5/D5)</f>
        <v>9.7402273881194365E-3</v>
      </c>
      <c r="AI5" s="11">
        <f t="shared" ref="AI5:AI39" si="8">IF(AL5="","·",AL5/D5)</f>
        <v>6.1611515246519106E-3</v>
      </c>
      <c r="AJ5" s="11">
        <f t="shared" ref="AJ5:AJ39" si="9">IF(AR5="","·",AR5/D5)</f>
        <v>3.5272086067430685E-3</v>
      </c>
      <c r="AK5" s="11">
        <f t="shared" ref="AK5:AK39" si="10">IF(ISBLANK(AT5),"·",AT5/D5)</f>
        <v>3.5785383789418835E-3</v>
      </c>
      <c r="AL5" s="52">
        <f t="shared" ref="AL5:AL39" si="11">IF(OR(ISBLANK(AR5),ISBLANK(AS5)),"",AR5+AS5)</f>
        <v>1467256</v>
      </c>
      <c r="AM5" s="11">
        <v>16</v>
      </c>
      <c r="AN5" s="12">
        <v>21785839</v>
      </c>
      <c r="AO5" s="12">
        <v>680807.46875</v>
      </c>
      <c r="AP5" s="12">
        <v>13493.8125</v>
      </c>
      <c r="AQ5" s="13">
        <v>2319600</v>
      </c>
      <c r="AR5" s="13">
        <v>839992</v>
      </c>
      <c r="AS5" s="13">
        <v>627264</v>
      </c>
      <c r="AT5" s="13">
        <v>852216</v>
      </c>
      <c r="AU5" s="14">
        <v>66.354628000000005</v>
      </c>
      <c r="AV5" s="14">
        <v>68.478525000000005</v>
      </c>
      <c r="AW5" s="14">
        <v>32.104728000000001</v>
      </c>
      <c r="AX5" s="14">
        <v>44.160262000000003</v>
      </c>
      <c r="AY5" s="14">
        <v>43.841844000000002</v>
      </c>
      <c r="AZ5" s="15">
        <v>3941.18</v>
      </c>
      <c r="BA5" s="15">
        <v>1263.74</v>
      </c>
      <c r="BB5" s="15">
        <v>62.37</v>
      </c>
      <c r="BC5" s="15">
        <v>19.858000000000001</v>
      </c>
      <c r="BE5" s="50">
        <f t="shared" ref="BE5:BE43" si="12">AI5/K5</f>
        <v>0.99195755405800079</v>
      </c>
      <c r="BF5" s="16">
        <f t="shared" ref="BF5:BF39" si="13">(AP5/AO5) - (R5/Q5)</f>
        <v>0</v>
      </c>
      <c r="BG5" s="16">
        <f t="shared" ref="BG5:BG39" si="14">(AL5/AQ5) - (N5/S5)</f>
        <v>-1.9096886512784961E-3</v>
      </c>
      <c r="BH5" s="16">
        <f t="array" ref="BH5">AVERAGE(AL5:AL9/AQ5:AQ9) - AVERAGE(N5:N9/S5:S9)</f>
        <v>-1.2277111406924224E-3</v>
      </c>
      <c r="BJ5" s="50">
        <f>IF( OR(ISBLANK(N5:N9),ISBLANK(AL5:AL9), ISBLANK(W5:W9),ISBLANK(AU5:AU9)), "·", bdRateExtend( N5:N9,W5:W9, AL5:AL9,AU5:AU9))</f>
        <v>-5.5938496771958945E-3</v>
      </c>
      <c r="BK5" s="50">
        <f>IF( OR(ISBLANK(N5:N9),ISBLANK(AL5:AL9), ISBLANK(X5:X9),ISBLANK(AV5:AV9)), "·", bdRateExtend( N5:N9,X5:X9, AL5:AL9,AV5:AV9))</f>
        <v>-5.2914026066951392E-3</v>
      </c>
      <c r="BL5" s="50">
        <f>IF( OR(ISBLANK(V5:V9),ISBLANK(AT5:AT9), ISBLANK(Y5:Y9),ISBLANK(AW5:AW9)), "·", bdRateExtend( V5:V9,Y5:Y9, AT5:AT9,AW5:AW9))</f>
        <v>0</v>
      </c>
      <c r="BM5" s="50">
        <f>IF( OR(ISBLANK(V5:V9),ISBLANK(AT5:AT9), ISBLANK(Z5:Z9),ISBLANK(AX5:AX9)), "·", bdRateExtend( V5:V9,Z5:Z9, AT5:AT9,AX5:AX9))</f>
        <v>0</v>
      </c>
      <c r="BN5" s="50">
        <f>IF( OR(ISBLANK(V5:V9),ISBLANK(AT5:AT9), ISBLANK(AA5:AA9),ISBLANK(AY5:AY9)), "·", bdRateExtend( V5:V9,AA5:AA9, AT5:AT9,AY5:AY9))</f>
        <v>0</v>
      </c>
      <c r="BP5" s="50">
        <f>IF( OR(ISBLANK(S5:S9),ISBLANK(AQ5:AQ9), ISBLANK(W5:W9),ISBLANK(AU5:AU9)), "·", bdRateExtend( S5:S9,W5:W9, AQ5:AQ9,AU5:AU9))</f>
        <v>-2.5672448144119508E-3</v>
      </c>
      <c r="BQ5" s="50">
        <f>IF( OR(ISBLANK(S5:S9),ISBLANK(AQ5:AQ9), ISBLANK(X5:X9),ISBLANK(AV5:AV9)), "·", bdRateExtend( S5:S9,X5:X9, AQ5:AQ9,AV5:AV9))</f>
        <v>-2.3474075668058481E-3</v>
      </c>
      <c r="BR5" s="50">
        <f>IF( OR(ISBLANK(S5:S9),ISBLANK(AQ5:AQ9), ISBLANK(Y5:Y9),ISBLANK(AW5:AW9)), "·", bdRateExtend( S5:S9,Y5:Y9, AQ5:AQ9,AW5:AW9))</f>
        <v>-2.201375959973606E-3</v>
      </c>
      <c r="BS5" s="50">
        <f>IF( OR(ISBLANK(S5:S9),ISBLANK(AQ5:AQ9), ISBLANK(Z5:Z9),ISBLANK(AX5:AX9)), "·", bdRateExtend( S5:S9,Z5:Z9, AQ5:AQ9,AX5:AX9))</f>
        <v>-2.2065048708640456E-3</v>
      </c>
      <c r="BT5" s="50">
        <f>IF( OR(ISBLANK(S5:S9),ISBLANK(AQ5:AQ9), ISBLANK(AA5:AA9),ISBLANK(AY5:AY9)), "·", bdRateExtend( S5:S9,AA5:AA9, AQ5:AQ9,AY5:AY9))</f>
        <v>-2.2110919561992848E-3</v>
      </c>
      <c r="BV5" s="58">
        <f>AN5-P5</f>
        <v>0</v>
      </c>
      <c r="BW5" s="58">
        <f t="shared" ref="BW5:CG20" si="15">AO5-Q5</f>
        <v>0</v>
      </c>
      <c r="BX5" s="58">
        <f t="shared" si="15"/>
        <v>0</v>
      </c>
      <c r="BY5" s="58">
        <f t="shared" si="15"/>
        <v>-11768</v>
      </c>
      <c r="BZ5" s="58">
        <f t="shared" si="15"/>
        <v>0</v>
      </c>
      <c r="CA5" s="58">
        <f t="shared" si="15"/>
        <v>-11896</v>
      </c>
      <c r="CB5" s="58">
        <f t="shared" si="15"/>
        <v>0</v>
      </c>
      <c r="CC5" s="58">
        <f t="shared" si="15"/>
        <v>0</v>
      </c>
      <c r="CD5" s="58">
        <f t="shared" si="15"/>
        <v>0</v>
      </c>
      <c r="CE5" s="58">
        <f t="shared" si="15"/>
        <v>0</v>
      </c>
      <c r="CF5" s="58">
        <f t="shared" si="15"/>
        <v>0</v>
      </c>
      <c r="CG5" s="58">
        <f t="shared" si="15"/>
        <v>0</v>
      </c>
      <c r="CJ5" t="s">
        <v>233</v>
      </c>
    </row>
    <row r="6" spans="1:88" outlineLevel="1">
      <c r="A6" s="17"/>
      <c r="B6" s="17" t="s">
        <v>51</v>
      </c>
      <c r="C6" s="18" t="s">
        <v>234</v>
      </c>
      <c r="D6" s="17">
        <v>238146391</v>
      </c>
      <c r="E6" s="18">
        <v>10</v>
      </c>
      <c r="F6" s="18">
        <v>32</v>
      </c>
      <c r="G6" s="18">
        <v>30</v>
      </c>
      <c r="I6" s="19">
        <f t="shared" si="0"/>
        <v>3.4014674999999999</v>
      </c>
      <c r="J6" s="20">
        <f t="shared" si="1"/>
        <v>1.5235301214369442E-2</v>
      </c>
      <c r="K6" s="20">
        <f t="shared" si="2"/>
        <v>7.5753069043989841E-3</v>
      </c>
      <c r="L6" s="20">
        <f t="shared" si="3"/>
        <v>4.8914115183882837E-3</v>
      </c>
      <c r="M6" s="20">
        <f t="shared" si="4"/>
        <v>7.6599943099704589E-3</v>
      </c>
      <c r="N6" s="17">
        <f t="shared" si="5"/>
        <v>1804032</v>
      </c>
      <c r="O6" s="20">
        <v>16</v>
      </c>
      <c r="P6" s="21">
        <v>24191962</v>
      </c>
      <c r="Q6" s="21">
        <v>755998.8125</v>
      </c>
      <c r="R6" s="21">
        <v>19085.96875</v>
      </c>
      <c r="S6" s="22">
        <v>3628232</v>
      </c>
      <c r="T6" s="22">
        <v>1164872</v>
      </c>
      <c r="U6" s="22">
        <v>639160</v>
      </c>
      <c r="V6" s="22">
        <v>1824200</v>
      </c>
      <c r="W6" s="23">
        <v>68.255977999999999</v>
      </c>
      <c r="X6" s="23">
        <v>70.438458999999995</v>
      </c>
      <c r="Y6" s="23">
        <v>34.355628000000003</v>
      </c>
      <c r="Z6" s="23">
        <v>45.457172</v>
      </c>
      <c r="AA6" s="23">
        <v>45.255406000000001</v>
      </c>
      <c r="AB6" s="24">
        <v>4007.02</v>
      </c>
      <c r="AC6" s="24">
        <v>1376.29</v>
      </c>
      <c r="AD6" s="24">
        <v>67.054000000000002</v>
      </c>
      <c r="AE6" s="24">
        <v>20.920999999999999</v>
      </c>
      <c r="AG6" s="19">
        <f t="shared" si="6"/>
        <v>3.3904424999999998</v>
      </c>
      <c r="AH6" s="20">
        <f t="shared" si="7"/>
        <v>1.518591982357608E-2</v>
      </c>
      <c r="AI6" s="20">
        <f t="shared" si="8"/>
        <v>7.5253880290799789E-3</v>
      </c>
      <c r="AJ6" s="20">
        <f t="shared" si="9"/>
        <v>4.8914115183882837E-3</v>
      </c>
      <c r="AK6" s="20">
        <f t="shared" si="10"/>
        <v>7.6599943099704589E-3</v>
      </c>
      <c r="AL6" s="17">
        <f t="shared" si="11"/>
        <v>1792144</v>
      </c>
      <c r="AM6" s="20">
        <v>16</v>
      </c>
      <c r="AN6" s="21">
        <v>24191962</v>
      </c>
      <c r="AO6" s="21">
        <v>755998.8125</v>
      </c>
      <c r="AP6" s="21">
        <v>19085.96875</v>
      </c>
      <c r="AQ6" s="22">
        <v>3616472</v>
      </c>
      <c r="AR6" s="22">
        <v>1164872</v>
      </c>
      <c r="AS6" s="22">
        <v>627272</v>
      </c>
      <c r="AT6" s="22">
        <v>1824200</v>
      </c>
      <c r="AU6" s="23">
        <v>68.255977999999999</v>
      </c>
      <c r="AV6" s="23">
        <v>70.438458999999995</v>
      </c>
      <c r="AW6" s="23">
        <v>34.355628000000003</v>
      </c>
      <c r="AX6" s="23">
        <v>45.457172</v>
      </c>
      <c r="AY6" s="23">
        <v>45.255406000000001</v>
      </c>
      <c r="AZ6" s="24">
        <v>3287.99</v>
      </c>
      <c r="BA6" s="24">
        <v>1016.48</v>
      </c>
      <c r="BB6" s="24">
        <v>62.6</v>
      </c>
      <c r="BC6" s="24">
        <v>15.756</v>
      </c>
      <c r="BE6" s="49">
        <f t="shared" si="12"/>
        <v>0.99341031644671485</v>
      </c>
      <c r="BF6" s="25">
        <f t="shared" si="13"/>
        <v>0</v>
      </c>
      <c r="BG6" s="25">
        <f t="shared" si="14"/>
        <v>-1.6703253186056144E-3</v>
      </c>
      <c r="BH6" s="25"/>
      <c r="BJ6" s="49"/>
      <c r="BK6" s="49"/>
      <c r="BL6" s="49"/>
      <c r="BM6" s="49"/>
      <c r="BN6" s="49"/>
      <c r="BP6" s="49"/>
      <c r="BQ6" s="49"/>
      <c r="BR6" s="49"/>
      <c r="BS6" s="49"/>
      <c r="BT6" s="49"/>
      <c r="BV6" s="58">
        <f t="shared" ref="BV6:CG39" si="16">AN6-P6</f>
        <v>0</v>
      </c>
      <c r="BW6" s="58">
        <f t="shared" si="15"/>
        <v>0</v>
      </c>
      <c r="BX6" s="58">
        <f t="shared" si="15"/>
        <v>0</v>
      </c>
      <c r="BY6" s="58">
        <f t="shared" si="15"/>
        <v>-11760</v>
      </c>
      <c r="BZ6" s="58">
        <f t="shared" si="15"/>
        <v>0</v>
      </c>
      <c r="CA6" s="58">
        <f t="shared" si="15"/>
        <v>-11888</v>
      </c>
      <c r="CB6" s="58">
        <f t="shared" si="15"/>
        <v>0</v>
      </c>
      <c r="CC6" s="58">
        <f t="shared" si="15"/>
        <v>0</v>
      </c>
      <c r="CD6" s="58">
        <f t="shared" si="15"/>
        <v>0</v>
      </c>
      <c r="CE6" s="58">
        <f t="shared" si="15"/>
        <v>0</v>
      </c>
      <c r="CF6" s="58">
        <f t="shared" si="15"/>
        <v>0</v>
      </c>
      <c r="CG6" s="58">
        <f t="shared" si="15"/>
        <v>0</v>
      </c>
      <c r="CJ6" t="s">
        <v>233</v>
      </c>
    </row>
    <row r="7" spans="1:88" outlineLevel="1">
      <c r="A7" s="52"/>
      <c r="B7" s="52" t="s">
        <v>51</v>
      </c>
      <c r="C7" s="9" t="s">
        <v>235</v>
      </c>
      <c r="D7" s="52">
        <v>238146391</v>
      </c>
      <c r="E7" s="9">
        <v>10</v>
      </c>
      <c r="F7" s="9">
        <v>32</v>
      </c>
      <c r="G7" s="9">
        <v>30</v>
      </c>
      <c r="I7" s="10">
        <f t="shared" si="0"/>
        <v>5.5771199999999999</v>
      </c>
      <c r="J7" s="11">
        <f t="shared" si="1"/>
        <v>2.498013081373969E-2</v>
      </c>
      <c r="K7" s="11">
        <f t="shared" si="2"/>
        <v>9.522613340800113E-3</v>
      </c>
      <c r="L7" s="11">
        <f t="shared" si="3"/>
        <v>6.8387179547894136E-3</v>
      </c>
      <c r="M7" s="11">
        <f t="shared" si="4"/>
        <v>1.5457517472939575E-2</v>
      </c>
      <c r="N7" s="52">
        <f t="shared" si="5"/>
        <v>2267776</v>
      </c>
      <c r="O7" s="11">
        <v>16</v>
      </c>
      <c r="P7" s="12">
        <v>24808216</v>
      </c>
      <c r="Q7" s="12">
        <v>775256.75</v>
      </c>
      <c r="R7" s="12">
        <v>20954.78125</v>
      </c>
      <c r="S7" s="13">
        <v>5948928</v>
      </c>
      <c r="T7" s="13">
        <v>1628616</v>
      </c>
      <c r="U7" s="13">
        <v>639160</v>
      </c>
      <c r="V7" s="13">
        <v>3681152</v>
      </c>
      <c r="W7" s="14">
        <v>69.683724999999995</v>
      </c>
      <c r="X7" s="14">
        <v>72.129402999999996</v>
      </c>
      <c r="Y7" s="14">
        <v>36.897066000000002</v>
      </c>
      <c r="Z7" s="14">
        <v>46.589962999999997</v>
      </c>
      <c r="AA7" s="14">
        <v>46.485678</v>
      </c>
      <c r="AB7" s="15">
        <v>3322.91</v>
      </c>
      <c r="AC7" s="15">
        <v>1042.68</v>
      </c>
      <c r="AD7" s="15">
        <v>59.536000000000001</v>
      </c>
      <c r="AE7" s="15">
        <v>15.117000000000001</v>
      </c>
      <c r="AG7" s="10">
        <f t="shared" si="6"/>
        <v>5.5660949999999998</v>
      </c>
      <c r="AH7" s="11">
        <f t="shared" si="7"/>
        <v>2.4930749422946326E-2</v>
      </c>
      <c r="AI7" s="11">
        <f t="shared" si="8"/>
        <v>9.4726944654811088E-3</v>
      </c>
      <c r="AJ7" s="11">
        <f t="shared" si="9"/>
        <v>6.8387179547894136E-3</v>
      </c>
      <c r="AK7" s="11">
        <f t="shared" si="10"/>
        <v>1.5457517472939575E-2</v>
      </c>
      <c r="AL7" s="52">
        <f t="shared" si="11"/>
        <v>2255888</v>
      </c>
      <c r="AM7" s="11">
        <v>16</v>
      </c>
      <c r="AN7" s="12">
        <v>24808216</v>
      </c>
      <c r="AO7" s="12">
        <v>775256.75</v>
      </c>
      <c r="AP7" s="12">
        <v>20954.78125</v>
      </c>
      <c r="AQ7" s="13">
        <v>5937168</v>
      </c>
      <c r="AR7" s="13">
        <v>1628616</v>
      </c>
      <c r="AS7" s="13">
        <v>627272</v>
      </c>
      <c r="AT7" s="13">
        <v>3681152</v>
      </c>
      <c r="AU7" s="14">
        <v>69.683724999999995</v>
      </c>
      <c r="AV7" s="14">
        <v>72.129402999999996</v>
      </c>
      <c r="AW7" s="14">
        <v>36.897066000000002</v>
      </c>
      <c r="AX7" s="14">
        <v>46.589962999999997</v>
      </c>
      <c r="AY7" s="14">
        <v>46.485678</v>
      </c>
      <c r="AZ7" s="15">
        <v>3285.32</v>
      </c>
      <c r="BA7" s="15">
        <v>1047.23</v>
      </c>
      <c r="BB7" s="15">
        <v>62</v>
      </c>
      <c r="BC7" s="15">
        <v>14.791</v>
      </c>
      <c r="BE7" s="50">
        <f t="shared" si="12"/>
        <v>0.99475785968279062</v>
      </c>
      <c r="BF7" s="16">
        <f t="shared" si="13"/>
        <v>0</v>
      </c>
      <c r="BG7" s="16">
        <f t="shared" si="14"/>
        <v>-1.2472275909663488E-3</v>
      </c>
      <c r="BH7" s="16"/>
      <c r="BJ7" s="50"/>
      <c r="BK7" s="50"/>
      <c r="BL7" s="50"/>
      <c r="BM7" s="50"/>
      <c r="BN7" s="50"/>
      <c r="BP7" s="50"/>
      <c r="BQ7" s="50"/>
      <c r="BR7" s="50"/>
      <c r="BS7" s="50"/>
      <c r="BT7" s="50"/>
      <c r="BV7" s="58">
        <f t="shared" si="16"/>
        <v>0</v>
      </c>
      <c r="BW7" s="58">
        <f t="shared" si="15"/>
        <v>0</v>
      </c>
      <c r="BX7" s="58">
        <f t="shared" si="15"/>
        <v>0</v>
      </c>
      <c r="BY7" s="58">
        <f t="shared" si="15"/>
        <v>-11760</v>
      </c>
      <c r="BZ7" s="58">
        <f t="shared" si="15"/>
        <v>0</v>
      </c>
      <c r="CA7" s="58">
        <f t="shared" si="15"/>
        <v>-11888</v>
      </c>
      <c r="CB7" s="58">
        <f t="shared" si="15"/>
        <v>0</v>
      </c>
      <c r="CC7" s="58">
        <f t="shared" si="15"/>
        <v>0</v>
      </c>
      <c r="CD7" s="58">
        <f t="shared" si="15"/>
        <v>0</v>
      </c>
      <c r="CE7" s="58">
        <f t="shared" si="15"/>
        <v>0</v>
      </c>
      <c r="CF7" s="58">
        <f t="shared" si="15"/>
        <v>0</v>
      </c>
      <c r="CG7" s="58">
        <f t="shared" si="15"/>
        <v>0</v>
      </c>
      <c r="CJ7" t="s">
        <v>233</v>
      </c>
    </row>
    <row r="8" spans="1:88" outlineLevel="1">
      <c r="A8" s="17"/>
      <c r="B8" s="17" t="s">
        <v>51</v>
      </c>
      <c r="C8" s="18" t="s">
        <v>236</v>
      </c>
      <c r="D8" s="17">
        <v>238146391</v>
      </c>
      <c r="E8" s="18">
        <v>10</v>
      </c>
      <c r="F8" s="18">
        <v>32</v>
      </c>
      <c r="G8" s="18">
        <v>30</v>
      </c>
      <c r="I8" s="19">
        <f t="shared" si="0"/>
        <v>9.4412924999999994</v>
      </c>
      <c r="J8" s="20">
        <f t="shared" si="1"/>
        <v>4.2287905173419155E-2</v>
      </c>
      <c r="K8" s="20">
        <f t="shared" si="2"/>
        <v>1.2784640519704538E-2</v>
      </c>
      <c r="L8" s="20">
        <f t="shared" si="3"/>
        <v>1.0100745133693839E-2</v>
      </c>
      <c r="M8" s="20">
        <f t="shared" si="4"/>
        <v>2.9503264653714615E-2</v>
      </c>
      <c r="N8" s="17">
        <f t="shared" si="5"/>
        <v>3044616</v>
      </c>
      <c r="O8" s="20">
        <v>16</v>
      </c>
      <c r="P8" s="21">
        <v>25797809</v>
      </c>
      <c r="Q8" s="21">
        <v>806181.53125</v>
      </c>
      <c r="R8" s="21">
        <v>24199.8125</v>
      </c>
      <c r="S8" s="22">
        <v>10070712</v>
      </c>
      <c r="T8" s="22">
        <v>2405456</v>
      </c>
      <c r="U8" s="22">
        <v>639160</v>
      </c>
      <c r="V8" s="22">
        <v>7026096</v>
      </c>
      <c r="W8" s="23">
        <v>70.836841000000007</v>
      </c>
      <c r="X8" s="23">
        <v>73.406981000000002</v>
      </c>
      <c r="Y8" s="23">
        <v>39.525216</v>
      </c>
      <c r="Z8" s="23">
        <v>47.905425000000001</v>
      </c>
      <c r="AA8" s="23">
        <v>47.942124999999997</v>
      </c>
      <c r="AB8" s="24">
        <v>4080.27</v>
      </c>
      <c r="AC8" s="24">
        <v>1545.72</v>
      </c>
      <c r="AD8" s="24">
        <v>70.674000000000007</v>
      </c>
      <c r="AE8" s="24">
        <v>23.140999999999998</v>
      </c>
      <c r="AG8" s="19">
        <f t="shared" si="6"/>
        <v>9.4302674999999994</v>
      </c>
      <c r="AH8" s="20">
        <f t="shared" si="7"/>
        <v>4.2238523782625791E-2</v>
      </c>
      <c r="AI8" s="20">
        <f t="shared" si="8"/>
        <v>1.2734721644385532E-2</v>
      </c>
      <c r="AJ8" s="20">
        <f t="shared" si="9"/>
        <v>1.0100745133693839E-2</v>
      </c>
      <c r="AK8" s="20">
        <f t="shared" si="10"/>
        <v>2.9503264653714615E-2</v>
      </c>
      <c r="AL8" s="17">
        <f t="shared" si="11"/>
        <v>3032728</v>
      </c>
      <c r="AM8" s="20">
        <v>16</v>
      </c>
      <c r="AN8" s="21">
        <v>25797809</v>
      </c>
      <c r="AO8" s="21">
        <v>806181.53125</v>
      </c>
      <c r="AP8" s="21">
        <v>24199.8125</v>
      </c>
      <c r="AQ8" s="22">
        <v>10058952</v>
      </c>
      <c r="AR8" s="22">
        <v>2405456</v>
      </c>
      <c r="AS8" s="22">
        <v>627272</v>
      </c>
      <c r="AT8" s="22">
        <v>7026096</v>
      </c>
      <c r="AU8" s="23">
        <v>70.836841000000007</v>
      </c>
      <c r="AV8" s="23">
        <v>73.406981000000002</v>
      </c>
      <c r="AW8" s="23">
        <v>39.525216</v>
      </c>
      <c r="AX8" s="23">
        <v>47.905425000000001</v>
      </c>
      <c r="AY8" s="23">
        <v>47.942124999999997</v>
      </c>
      <c r="AZ8" s="24">
        <v>3398.99</v>
      </c>
      <c r="BA8" s="24">
        <v>1147.48</v>
      </c>
      <c r="BB8" s="24">
        <v>65.349000000000004</v>
      </c>
      <c r="BC8" s="24">
        <v>15.537000000000001</v>
      </c>
      <c r="BE8" s="49">
        <f t="shared" si="12"/>
        <v>0.99609540250724549</v>
      </c>
      <c r="BF8" s="25">
        <f t="shared" si="13"/>
        <v>0</v>
      </c>
      <c r="BG8" s="25">
        <f t="shared" si="14"/>
        <v>-8.283837142495365E-4</v>
      </c>
      <c r="BH8" s="25"/>
      <c r="BJ8" s="49"/>
      <c r="BK8" s="49"/>
      <c r="BL8" s="49"/>
      <c r="BM8" s="49"/>
      <c r="BN8" s="49"/>
      <c r="BP8" s="49"/>
      <c r="BQ8" s="49"/>
      <c r="BR8" s="49"/>
      <c r="BS8" s="49"/>
      <c r="BT8" s="49"/>
      <c r="BV8" s="58">
        <f t="shared" si="16"/>
        <v>0</v>
      </c>
      <c r="BW8" s="58">
        <f t="shared" si="15"/>
        <v>0</v>
      </c>
      <c r="BX8" s="58">
        <f t="shared" si="15"/>
        <v>0</v>
      </c>
      <c r="BY8" s="58">
        <f t="shared" si="15"/>
        <v>-11760</v>
      </c>
      <c r="BZ8" s="58">
        <f t="shared" si="15"/>
        <v>0</v>
      </c>
      <c r="CA8" s="58">
        <f t="shared" si="15"/>
        <v>-11888</v>
      </c>
      <c r="CB8" s="58">
        <f t="shared" si="15"/>
        <v>0</v>
      </c>
      <c r="CC8" s="58">
        <f t="shared" si="15"/>
        <v>0</v>
      </c>
      <c r="CD8" s="58">
        <f t="shared" si="15"/>
        <v>0</v>
      </c>
      <c r="CE8" s="58">
        <f t="shared" si="15"/>
        <v>0</v>
      </c>
      <c r="CF8" s="58">
        <f t="shared" si="15"/>
        <v>0</v>
      </c>
      <c r="CG8" s="58">
        <f t="shared" si="15"/>
        <v>0</v>
      </c>
      <c r="CJ8" t="s">
        <v>233</v>
      </c>
    </row>
    <row r="9" spans="1:88" ht="16" outlineLevel="1" thickBot="1">
      <c r="A9" s="52"/>
      <c r="B9" s="26" t="s">
        <v>51</v>
      </c>
      <c r="C9" s="27" t="s">
        <v>237</v>
      </c>
      <c r="D9" s="26">
        <v>238146391</v>
      </c>
      <c r="E9" s="27">
        <v>10</v>
      </c>
      <c r="F9" s="27">
        <v>32</v>
      </c>
      <c r="G9" s="27">
        <v>30</v>
      </c>
      <c r="I9" s="28">
        <f t="shared" si="0"/>
        <v>16.818832499999999</v>
      </c>
      <c r="J9" s="29">
        <f t="shared" si="1"/>
        <v>7.5332185067629259E-2</v>
      </c>
      <c r="K9" s="29">
        <f t="shared" si="2"/>
        <v>2.068986214449918E-2</v>
      </c>
      <c r="L9" s="29">
        <f t="shared" si="3"/>
        <v>1.5547781280464586E-2</v>
      </c>
      <c r="M9" s="29">
        <f t="shared" si="4"/>
        <v>5.4642322923130086E-2</v>
      </c>
      <c r="N9" s="26">
        <f t="shared" si="5"/>
        <v>4927216</v>
      </c>
      <c r="O9" s="29">
        <v>16</v>
      </c>
      <c r="P9" s="30">
        <v>24868389</v>
      </c>
      <c r="Q9" s="30">
        <v>777137.15625</v>
      </c>
      <c r="R9" s="30">
        <v>10635.96875</v>
      </c>
      <c r="S9" s="31">
        <v>17940088</v>
      </c>
      <c r="T9" s="31">
        <v>3702648</v>
      </c>
      <c r="U9" s="31">
        <v>1224568</v>
      </c>
      <c r="V9" s="31">
        <v>13012872</v>
      </c>
      <c r="W9" s="32">
        <v>71.945244000000002</v>
      </c>
      <c r="X9" s="32">
        <v>75.319241000000005</v>
      </c>
      <c r="Y9" s="32">
        <v>42.127887000000001</v>
      </c>
      <c r="Z9" s="32">
        <v>49.411659</v>
      </c>
      <c r="AA9" s="32">
        <v>49.554577999999999</v>
      </c>
      <c r="AB9" s="33">
        <v>3598.79</v>
      </c>
      <c r="AC9" s="33">
        <v>1328.79</v>
      </c>
      <c r="AD9" s="33">
        <v>62.445999999999998</v>
      </c>
      <c r="AE9" s="33">
        <v>17.969000000000001</v>
      </c>
      <c r="AG9" s="28">
        <f t="shared" si="6"/>
        <v>16.807807499999999</v>
      </c>
      <c r="AH9" s="29">
        <f t="shared" si="7"/>
        <v>7.5282803676835902E-2</v>
      </c>
      <c r="AI9" s="29">
        <f t="shared" si="8"/>
        <v>2.0639943269180176E-2</v>
      </c>
      <c r="AJ9" s="29">
        <f t="shared" si="9"/>
        <v>1.5547781280464586E-2</v>
      </c>
      <c r="AK9" s="29">
        <f t="shared" si="10"/>
        <v>5.4642322923130086E-2</v>
      </c>
      <c r="AL9" s="26">
        <f t="shared" si="11"/>
        <v>4915328</v>
      </c>
      <c r="AM9" s="29">
        <v>16</v>
      </c>
      <c r="AN9" s="30">
        <v>24868389</v>
      </c>
      <c r="AO9" s="30">
        <v>777137.15625</v>
      </c>
      <c r="AP9" s="30">
        <v>10635.96875</v>
      </c>
      <c r="AQ9" s="31">
        <v>17928328</v>
      </c>
      <c r="AR9" s="31">
        <v>3702648</v>
      </c>
      <c r="AS9" s="31">
        <v>1212680</v>
      </c>
      <c r="AT9" s="31">
        <v>13012872</v>
      </c>
      <c r="AU9" s="32">
        <v>71.945244000000002</v>
      </c>
      <c r="AV9" s="32">
        <v>75.319241000000005</v>
      </c>
      <c r="AW9" s="32">
        <v>42.127887000000001</v>
      </c>
      <c r="AX9" s="32">
        <v>49.411659</v>
      </c>
      <c r="AY9" s="32">
        <v>49.554577999999999</v>
      </c>
      <c r="AZ9" s="33">
        <v>3331.47</v>
      </c>
      <c r="BA9" s="33">
        <v>1287.06</v>
      </c>
      <c r="BB9" s="33">
        <v>64.281999999999996</v>
      </c>
      <c r="BC9" s="33">
        <v>17.472000000000001</v>
      </c>
      <c r="BE9" s="34">
        <f t="shared" si="12"/>
        <v>0.9975872784956048</v>
      </c>
      <c r="BF9" s="35">
        <f t="shared" si="13"/>
        <v>0</v>
      </c>
      <c r="BG9" s="35">
        <f t="shared" si="14"/>
        <v>-4.8293042836189404E-4</v>
      </c>
      <c r="BH9" s="35"/>
      <c r="BJ9" s="34"/>
      <c r="BK9" s="34"/>
      <c r="BL9" s="34"/>
      <c r="BM9" s="34"/>
      <c r="BN9" s="34"/>
      <c r="BP9" s="34"/>
      <c r="BQ9" s="34"/>
      <c r="BR9" s="34"/>
      <c r="BS9" s="34"/>
      <c r="BT9" s="34"/>
      <c r="BV9" s="58">
        <f t="shared" si="16"/>
        <v>0</v>
      </c>
      <c r="BW9" s="58">
        <f t="shared" si="15"/>
        <v>0</v>
      </c>
      <c r="BX9" s="58">
        <f t="shared" si="15"/>
        <v>0</v>
      </c>
      <c r="BY9" s="58">
        <f t="shared" si="15"/>
        <v>-11760</v>
      </c>
      <c r="BZ9" s="58">
        <f t="shared" si="15"/>
        <v>0</v>
      </c>
      <c r="CA9" s="58">
        <f t="shared" si="15"/>
        <v>-11888</v>
      </c>
      <c r="CB9" s="58">
        <f t="shared" si="15"/>
        <v>0</v>
      </c>
      <c r="CC9" s="58">
        <f t="shared" si="15"/>
        <v>0</v>
      </c>
      <c r="CD9" s="58">
        <f t="shared" si="15"/>
        <v>0</v>
      </c>
      <c r="CE9" s="58">
        <f t="shared" si="15"/>
        <v>0</v>
      </c>
      <c r="CF9" s="58">
        <f t="shared" si="15"/>
        <v>0</v>
      </c>
      <c r="CG9" s="58">
        <f t="shared" si="15"/>
        <v>0</v>
      </c>
      <c r="CJ9" t="s">
        <v>233</v>
      </c>
    </row>
    <row r="10" spans="1:88">
      <c r="A10" s="17"/>
      <c r="B10" s="17" t="s">
        <v>59</v>
      </c>
      <c r="C10" s="18" t="s">
        <v>232</v>
      </c>
      <c r="D10" s="17">
        <v>218121242</v>
      </c>
      <c r="E10" s="18">
        <v>10</v>
      </c>
      <c r="F10" s="18">
        <v>32</v>
      </c>
      <c r="G10" s="18">
        <v>30</v>
      </c>
      <c r="I10" s="19">
        <f t="shared" si="0"/>
        <v>3.2118150000000001</v>
      </c>
      <c r="J10" s="20">
        <f t="shared" si="1"/>
        <v>1.5706567451142607E-2</v>
      </c>
      <c r="K10" s="20">
        <f t="shared" si="2"/>
        <v>8.1856126603203558E-3</v>
      </c>
      <c r="L10" s="20">
        <f t="shared" si="3"/>
        <v>4.2806284772576161E-3</v>
      </c>
      <c r="M10" s="20">
        <f t="shared" si="4"/>
        <v>7.520954790822253E-3</v>
      </c>
      <c r="N10" s="17">
        <f t="shared" si="5"/>
        <v>1785456</v>
      </c>
      <c r="O10" s="20">
        <v>16</v>
      </c>
      <c r="P10" s="21">
        <v>20666971</v>
      </c>
      <c r="Q10" s="21">
        <v>645842.84375</v>
      </c>
      <c r="R10" s="21">
        <v>18163.46875</v>
      </c>
      <c r="S10" s="22">
        <v>3425936</v>
      </c>
      <c r="T10" s="22">
        <v>933696</v>
      </c>
      <c r="U10" s="22">
        <v>851760</v>
      </c>
      <c r="V10" s="22">
        <v>1640480</v>
      </c>
      <c r="W10" s="23">
        <v>65.904411999999994</v>
      </c>
      <c r="X10" s="23">
        <v>67.822759000000005</v>
      </c>
      <c r="Y10" s="23">
        <v>32.386865999999998</v>
      </c>
      <c r="Z10" s="23">
        <v>39.175778000000001</v>
      </c>
      <c r="AA10" s="23">
        <v>32.086630999999997</v>
      </c>
      <c r="AB10" s="24">
        <v>3521.37</v>
      </c>
      <c r="AC10" s="24">
        <v>1088.5899999999999</v>
      </c>
      <c r="AD10" s="24">
        <v>54.136000000000003</v>
      </c>
      <c r="AE10" s="24">
        <v>15.983000000000001</v>
      </c>
      <c r="AG10" s="19">
        <f t="shared" si="6"/>
        <v>3.1811250000000002</v>
      </c>
      <c r="AH10" s="20">
        <f t="shared" si="7"/>
        <v>1.5556485782343015E-2</v>
      </c>
      <c r="AI10" s="20">
        <f t="shared" si="8"/>
        <v>8.0348708082269224E-3</v>
      </c>
      <c r="AJ10" s="20">
        <f t="shared" si="9"/>
        <v>4.2808118615059046E-3</v>
      </c>
      <c r="AK10" s="20">
        <f t="shared" si="10"/>
        <v>7.5210281445215682E-3</v>
      </c>
      <c r="AL10" s="17">
        <f t="shared" si="11"/>
        <v>1752576</v>
      </c>
      <c r="AM10" s="20">
        <v>16</v>
      </c>
      <c r="AN10" s="21">
        <v>20669095</v>
      </c>
      <c r="AO10" s="21">
        <v>645909.21875</v>
      </c>
      <c r="AP10" s="21">
        <v>18184.75</v>
      </c>
      <c r="AQ10" s="22">
        <v>3393200</v>
      </c>
      <c r="AR10" s="22">
        <v>933736</v>
      </c>
      <c r="AS10" s="22">
        <v>818840</v>
      </c>
      <c r="AT10" s="22">
        <v>1640496</v>
      </c>
      <c r="AU10" s="23">
        <v>65.902412999999996</v>
      </c>
      <c r="AV10" s="23">
        <v>67.818877999999998</v>
      </c>
      <c r="AW10" s="23">
        <v>32.385178000000003</v>
      </c>
      <c r="AX10" s="23">
        <v>39.173521999999998</v>
      </c>
      <c r="AY10" s="23">
        <v>32.087003000000003</v>
      </c>
      <c r="AZ10" s="24">
        <v>3318.66</v>
      </c>
      <c r="BA10" s="24">
        <v>999.55799999999999</v>
      </c>
      <c r="BB10" s="24">
        <v>51.564999999999998</v>
      </c>
      <c r="BC10" s="24">
        <v>15.037000000000001</v>
      </c>
      <c r="BE10" s="49">
        <f t="shared" si="12"/>
        <v>0.98158453638734311</v>
      </c>
      <c r="BF10" s="25">
        <f t="shared" si="13"/>
        <v>3.0057693979866629E-5</v>
      </c>
      <c r="BG10" s="25">
        <f t="shared" si="14"/>
        <v>-4.6620747850684152E-3</v>
      </c>
      <c r="BH10" s="25">
        <f t="array" ref="BH10">AVERAGE(AL10:AL14/AQ10:AQ14) - AVERAGE(N10:N14/S10:S14)</f>
        <v>-2.7558125742069284E-3</v>
      </c>
      <c r="BJ10" s="49">
        <f>IF( OR(ISBLANK(N10:N14),ISBLANK(AL10:AL14), ISBLANK(W10:W14),ISBLANK(AU10:AU14)), "·", bdRateExtend( N10:N14,W10:W14, AL10:AL14,AU10:AU14))</f>
        <v>-1.2311781011527412E-2</v>
      </c>
      <c r="BK10" s="49">
        <f>IF( OR(ISBLANK(N10:N14),ISBLANK(AL10:AL14), ISBLANK(X10:X14),ISBLANK(AV10:AV14)), "·", bdRateExtend( N10:N14,X10:X14, AL10:AL14,AV10:AV14))</f>
        <v>-1.1425447681915668E-2</v>
      </c>
      <c r="BL10" s="49">
        <f>IF( OR(ISBLANK(V10:V14),ISBLANK(AT10:AT14), ISBLANK(Y10:Y14),ISBLANK(AW10:AW14)), "·", bdRateExtend( V10:V14,Y10:Y14, AT10:AT14,AW10:AW14))</f>
        <v>1.0044828000872474E-3</v>
      </c>
      <c r="BM10" s="49">
        <f>IF( OR(ISBLANK(V10:V14),ISBLANK(AT10:AT14), ISBLANK(Z10:Z14),ISBLANK(AX10:AX14)), "·", bdRateExtend( V10:V14,Z10:Z14, AT10:AT14,AX10:AX14))</f>
        <v>1.3436285338535026E-3</v>
      </c>
      <c r="BN10" s="49">
        <f>IF( OR(ISBLANK(V10:V14),ISBLANK(AT10:AT14), ISBLANK(AA10:AA14),ISBLANK(AY10:AY14)), "·", bdRateExtend( V10:V14,AA10:AA14, AT10:AT14,AY10:AY14))</f>
        <v>1.2705437494320293E-5</v>
      </c>
      <c r="BP10" s="49">
        <f>IF( OR(ISBLANK(S10:S14),ISBLANK(AQ10:AQ14), ISBLANK(W10:W14),ISBLANK(AU10:AU14)), "·", bdRateExtend( S10:S14,W10:W14, AQ10:AQ14,AU10:AU14))</f>
        <v>-4.7742825641849951E-3</v>
      </c>
      <c r="BQ10" s="49">
        <f>IF( OR(ISBLANK(S10:S14),ISBLANK(AQ10:AQ14), ISBLANK(X10:X14),ISBLANK(AV10:AV14)), "·", bdRateExtend( S10:S14,X10:X14, AQ10:AQ14,AV10:AV14))</f>
        <v>-4.2809500388751864E-3</v>
      </c>
      <c r="BR10" s="49">
        <f>IF( OR(ISBLANK(S10:S14),ISBLANK(AQ10:AQ14), ISBLANK(Y10:Y14),ISBLANK(AW10:AW14)), "·", bdRateExtend( S10:S14,Y10:Y14, AQ10:AQ14,AW10:AW14))</f>
        <v>-3.5830981287641173E-3</v>
      </c>
      <c r="BS10" s="49">
        <f>IF( OR(ISBLANK(S10:S14),ISBLANK(AQ10:AQ14), ISBLANK(Z10:Z14),ISBLANK(AX10:AX14)), "·", bdRateExtend( S10:S14,Z10:Z14, AQ10:AQ14,AX10:AX14))</f>
        <v>-3.2015722204805641E-3</v>
      </c>
      <c r="BT10" s="49">
        <f>IF( OR(ISBLANK(S10:S14),ISBLANK(AQ10:AQ14), ISBLANK(AA10:AA14),ISBLANK(AY10:AY14)), "·", bdRateExtend( S10:S14,AA10:AA14, AQ10:AQ14,AY10:AY14))</f>
        <v>-4.5370874747000522E-3</v>
      </c>
      <c r="BV10" s="58">
        <f t="shared" si="16"/>
        <v>2124</v>
      </c>
      <c r="BW10" s="58">
        <f t="shared" si="15"/>
        <v>66.375</v>
      </c>
      <c r="BX10" s="58">
        <f t="shared" si="15"/>
        <v>21.28125</v>
      </c>
      <c r="BY10" s="58">
        <f t="shared" si="15"/>
        <v>-32736</v>
      </c>
      <c r="BZ10" s="58">
        <f t="shared" si="15"/>
        <v>40</v>
      </c>
      <c r="CA10" s="58">
        <f t="shared" si="15"/>
        <v>-32920</v>
      </c>
      <c r="CB10" s="58">
        <f t="shared" si="15"/>
        <v>16</v>
      </c>
      <c r="CC10" s="58">
        <f t="shared" si="15"/>
        <v>-1.9989999999978636E-3</v>
      </c>
      <c r="CD10" s="58">
        <f t="shared" si="15"/>
        <v>-3.8810000000069067E-3</v>
      </c>
      <c r="CE10" s="58">
        <f t="shared" si="15"/>
        <v>-1.6879999999943607E-3</v>
      </c>
      <c r="CF10" s="58">
        <f t="shared" si="15"/>
        <v>-2.2560000000027003E-3</v>
      </c>
      <c r="CG10" s="58">
        <f t="shared" si="15"/>
        <v>3.7200000000581213E-4</v>
      </c>
      <c r="CJ10" t="s">
        <v>238</v>
      </c>
    </row>
    <row r="11" spans="1:88" outlineLevel="1">
      <c r="A11" s="52"/>
      <c r="B11" s="52" t="s">
        <v>59</v>
      </c>
      <c r="C11" s="9" t="s">
        <v>234</v>
      </c>
      <c r="D11" s="52">
        <v>218121242</v>
      </c>
      <c r="E11" s="9">
        <v>10</v>
      </c>
      <c r="F11" s="9">
        <v>32</v>
      </c>
      <c r="G11" s="9">
        <v>30</v>
      </c>
      <c r="I11" s="10">
        <f t="shared" si="0"/>
        <v>4.6275075000000001</v>
      </c>
      <c r="J11" s="11">
        <f t="shared" si="1"/>
        <v>2.2629652915693556E-2</v>
      </c>
      <c r="K11" s="11">
        <f t="shared" si="2"/>
        <v>9.9355385111918621E-3</v>
      </c>
      <c r="L11" s="11">
        <f t="shared" si="3"/>
        <v>6.0305543281291233E-3</v>
      </c>
      <c r="M11" s="11">
        <f t="shared" si="4"/>
        <v>1.2694114404501694E-2</v>
      </c>
      <c r="N11" s="52">
        <f t="shared" si="5"/>
        <v>2167152</v>
      </c>
      <c r="O11" s="11">
        <v>16</v>
      </c>
      <c r="P11" s="12">
        <v>22097663</v>
      </c>
      <c r="Q11" s="12">
        <v>690551.96875</v>
      </c>
      <c r="R11" s="12">
        <v>22957.28125</v>
      </c>
      <c r="S11" s="13">
        <v>4936008</v>
      </c>
      <c r="T11" s="13">
        <v>1315392</v>
      </c>
      <c r="U11" s="13">
        <v>851760</v>
      </c>
      <c r="V11" s="13">
        <v>2768856</v>
      </c>
      <c r="W11" s="14">
        <v>67.607918999999995</v>
      </c>
      <c r="X11" s="14">
        <v>69.699944000000002</v>
      </c>
      <c r="Y11" s="14">
        <v>34.247959000000002</v>
      </c>
      <c r="Z11" s="14">
        <v>40.027191000000002</v>
      </c>
      <c r="AA11" s="14">
        <v>33.861477999999998</v>
      </c>
      <c r="AB11" s="15">
        <v>4191.76</v>
      </c>
      <c r="AC11" s="15">
        <v>1465.99</v>
      </c>
      <c r="AD11" s="15">
        <v>60.981000000000002</v>
      </c>
      <c r="AE11" s="15">
        <v>21.838999999999999</v>
      </c>
      <c r="AG11" s="10">
        <f t="shared" si="6"/>
        <v>4.5958800000000002</v>
      </c>
      <c r="AH11" s="11">
        <f t="shared" si="7"/>
        <v>2.2474986640686742E-2</v>
      </c>
      <c r="AI11" s="11">
        <f t="shared" si="8"/>
        <v>9.7893445884559924E-3</v>
      </c>
      <c r="AJ11" s="11">
        <f t="shared" si="9"/>
        <v>6.0352856417349764E-3</v>
      </c>
      <c r="AK11" s="11">
        <f t="shared" si="10"/>
        <v>1.2685055222636226E-2</v>
      </c>
      <c r="AL11" s="52">
        <f t="shared" si="11"/>
        <v>2135264</v>
      </c>
      <c r="AM11" s="11">
        <v>16</v>
      </c>
      <c r="AN11" s="12">
        <v>22097416</v>
      </c>
      <c r="AO11" s="12">
        <v>690544.25</v>
      </c>
      <c r="AP11" s="12">
        <v>22962.6875</v>
      </c>
      <c r="AQ11" s="13">
        <v>4902272</v>
      </c>
      <c r="AR11" s="13">
        <v>1316424</v>
      </c>
      <c r="AS11" s="13">
        <v>818840</v>
      </c>
      <c r="AT11" s="13">
        <v>2766880</v>
      </c>
      <c r="AU11" s="14">
        <v>67.609741</v>
      </c>
      <c r="AV11" s="14">
        <v>69.703922000000006</v>
      </c>
      <c r="AW11" s="14">
        <v>34.243222000000003</v>
      </c>
      <c r="AX11" s="14">
        <v>40.022387000000002</v>
      </c>
      <c r="AY11" s="14">
        <v>33.859659000000001</v>
      </c>
      <c r="AZ11" s="15">
        <v>4206.7299999999996</v>
      </c>
      <c r="BA11" s="15">
        <v>1476.39</v>
      </c>
      <c r="BB11" s="15">
        <v>65.072000000000003</v>
      </c>
      <c r="BC11" s="15">
        <v>22.742000000000001</v>
      </c>
      <c r="BE11" s="50">
        <f t="shared" si="12"/>
        <v>0.98528575752877512</v>
      </c>
      <c r="BF11" s="16">
        <f t="shared" si="13"/>
        <v>8.2005729743692135E-6</v>
      </c>
      <c r="BG11" s="16">
        <f t="shared" si="14"/>
        <v>-3.4833287513417188E-3</v>
      </c>
      <c r="BH11" s="16"/>
      <c r="BJ11" s="50"/>
      <c r="BK11" s="50"/>
      <c r="BL11" s="50"/>
      <c r="BM11" s="50"/>
      <c r="BN11" s="50"/>
      <c r="BP11" s="50"/>
      <c r="BQ11" s="50"/>
      <c r="BR11" s="50"/>
      <c r="BS11" s="50"/>
      <c r="BT11" s="50"/>
      <c r="BV11" s="58">
        <f t="shared" si="16"/>
        <v>-247</v>
      </c>
      <c r="BW11" s="58">
        <f t="shared" si="15"/>
        <v>-7.71875</v>
      </c>
      <c r="BX11" s="58">
        <f t="shared" si="15"/>
        <v>5.40625</v>
      </c>
      <c r="BY11" s="58">
        <f t="shared" si="15"/>
        <v>-33736</v>
      </c>
      <c r="BZ11" s="58">
        <f t="shared" si="15"/>
        <v>1032</v>
      </c>
      <c r="CA11" s="58">
        <f t="shared" si="15"/>
        <v>-32920</v>
      </c>
      <c r="CB11" s="58">
        <f t="shared" si="15"/>
        <v>-1976</v>
      </c>
      <c r="CC11" s="58">
        <f t="shared" si="15"/>
        <v>1.8220000000042091E-3</v>
      </c>
      <c r="CD11" s="58">
        <f t="shared" si="15"/>
        <v>3.9780000000035898E-3</v>
      </c>
      <c r="CE11" s="58">
        <f t="shared" si="15"/>
        <v>-4.736999999998659E-3</v>
      </c>
      <c r="CF11" s="58">
        <f t="shared" si="15"/>
        <v>-4.8040000000000305E-3</v>
      </c>
      <c r="CG11" s="58">
        <f t="shared" si="15"/>
        <v>-1.8189999999975726E-3</v>
      </c>
      <c r="CJ11" t="s">
        <v>238</v>
      </c>
    </row>
    <row r="12" spans="1:88" outlineLevel="1">
      <c r="A12" s="17"/>
      <c r="B12" s="17" t="s">
        <v>59</v>
      </c>
      <c r="C12" s="18" t="s">
        <v>235</v>
      </c>
      <c r="D12" s="17">
        <v>218121242</v>
      </c>
      <c r="E12" s="18">
        <v>10</v>
      </c>
      <c r="F12" s="18">
        <v>32</v>
      </c>
      <c r="G12" s="18">
        <v>30</v>
      </c>
      <c r="I12" s="19">
        <f t="shared" si="0"/>
        <v>7.1472224999999998</v>
      </c>
      <c r="J12" s="20">
        <f t="shared" si="1"/>
        <v>3.495168068041718E-2</v>
      </c>
      <c r="K12" s="20">
        <f t="shared" si="2"/>
        <v>1.2619110246951556E-2</v>
      </c>
      <c r="L12" s="20">
        <f t="shared" si="3"/>
        <v>8.714126063888817E-3</v>
      </c>
      <c r="M12" s="20">
        <f t="shared" si="4"/>
        <v>2.2332570433465624E-2</v>
      </c>
      <c r="N12" s="17">
        <f t="shared" si="5"/>
        <v>2752496</v>
      </c>
      <c r="O12" s="20">
        <v>16</v>
      </c>
      <c r="P12" s="21">
        <v>22510846</v>
      </c>
      <c r="Q12" s="21">
        <v>703463.9375</v>
      </c>
      <c r="R12" s="21">
        <v>24709.6875</v>
      </c>
      <c r="S12" s="22">
        <v>7623704</v>
      </c>
      <c r="T12" s="22">
        <v>1900736</v>
      </c>
      <c r="U12" s="22">
        <v>851760</v>
      </c>
      <c r="V12" s="22">
        <v>4871208</v>
      </c>
      <c r="W12" s="23">
        <v>68.956063</v>
      </c>
      <c r="X12" s="23">
        <v>71.331965999999994</v>
      </c>
      <c r="Y12" s="23">
        <v>36.351883999999998</v>
      </c>
      <c r="Z12" s="23">
        <v>40.928597000000003</v>
      </c>
      <c r="AA12" s="23">
        <v>35.641469000000001</v>
      </c>
      <c r="AB12" s="24">
        <v>3390.44</v>
      </c>
      <c r="AC12" s="24">
        <v>1110.17</v>
      </c>
      <c r="AD12" s="24">
        <v>54.74</v>
      </c>
      <c r="AE12" s="24">
        <v>16.425999999999998</v>
      </c>
      <c r="AG12" s="19">
        <f t="shared" si="6"/>
        <v>7.11456</v>
      </c>
      <c r="AH12" s="20">
        <f t="shared" si="7"/>
        <v>3.479195300015759E-2</v>
      </c>
      <c r="AI12" s="20">
        <f t="shared" si="8"/>
        <v>1.2464700709892345E-2</v>
      </c>
      <c r="AJ12" s="20">
        <f t="shared" si="9"/>
        <v>8.7106417631713281E-3</v>
      </c>
      <c r="AK12" s="20">
        <f t="shared" si="10"/>
        <v>2.2326665460670723E-2</v>
      </c>
      <c r="AL12" s="17">
        <f t="shared" si="11"/>
        <v>2718816</v>
      </c>
      <c r="AM12" s="20">
        <v>16</v>
      </c>
      <c r="AN12" s="21">
        <v>22514733</v>
      </c>
      <c r="AO12" s="21">
        <v>703585.40625</v>
      </c>
      <c r="AP12" s="21">
        <v>24682.875</v>
      </c>
      <c r="AQ12" s="22">
        <v>7588864</v>
      </c>
      <c r="AR12" s="22">
        <v>1899976</v>
      </c>
      <c r="AS12" s="22">
        <v>818840</v>
      </c>
      <c r="AT12" s="22">
        <v>4869920</v>
      </c>
      <c r="AU12" s="23">
        <v>68.954471999999996</v>
      </c>
      <c r="AV12" s="23">
        <v>71.328394000000003</v>
      </c>
      <c r="AW12" s="23">
        <v>36.344828</v>
      </c>
      <c r="AX12" s="23">
        <v>40.922593999999997</v>
      </c>
      <c r="AY12" s="23">
        <v>35.64</v>
      </c>
      <c r="AZ12" s="24">
        <v>3299.04</v>
      </c>
      <c r="BA12" s="24">
        <v>1129.54</v>
      </c>
      <c r="BB12" s="24">
        <v>57.314</v>
      </c>
      <c r="BC12" s="24">
        <v>16.506</v>
      </c>
      <c r="BE12" s="49">
        <f t="shared" si="12"/>
        <v>0.98776383326260964</v>
      </c>
      <c r="BF12" s="25">
        <f t="shared" si="13"/>
        <v>-4.4172574909386031E-5</v>
      </c>
      <c r="BG12" s="25">
        <f t="shared" si="14"/>
        <v>-2.780549426452561E-3</v>
      </c>
      <c r="BH12" s="25"/>
      <c r="BJ12" s="49"/>
      <c r="BK12" s="49"/>
      <c r="BL12" s="49"/>
      <c r="BM12" s="49"/>
      <c r="BN12" s="49"/>
      <c r="BP12" s="49"/>
      <c r="BQ12" s="49"/>
      <c r="BR12" s="49"/>
      <c r="BS12" s="49"/>
      <c r="BT12" s="49"/>
      <c r="BV12" s="58">
        <f t="shared" si="16"/>
        <v>3887</v>
      </c>
      <c r="BW12" s="58">
        <f t="shared" si="15"/>
        <v>121.46875</v>
      </c>
      <c r="BX12" s="58">
        <f t="shared" si="15"/>
        <v>-26.8125</v>
      </c>
      <c r="BY12" s="58">
        <f t="shared" si="15"/>
        <v>-34840</v>
      </c>
      <c r="BZ12" s="58">
        <f t="shared" si="15"/>
        <v>-760</v>
      </c>
      <c r="CA12" s="58">
        <f t="shared" si="15"/>
        <v>-32920</v>
      </c>
      <c r="CB12" s="58">
        <f t="shared" si="15"/>
        <v>-1288</v>
      </c>
      <c r="CC12" s="58">
        <f t="shared" si="15"/>
        <v>-1.591000000004783E-3</v>
      </c>
      <c r="CD12" s="58">
        <f t="shared" si="15"/>
        <v>-3.5719999999912488E-3</v>
      </c>
      <c r="CE12" s="58">
        <f t="shared" si="15"/>
        <v>-7.0559999999986189E-3</v>
      </c>
      <c r="CF12" s="58">
        <f t="shared" si="15"/>
        <v>-6.003000000006864E-3</v>
      </c>
      <c r="CG12" s="58">
        <f t="shared" si="15"/>
        <v>-1.4690000000001646E-3</v>
      </c>
      <c r="CJ12" t="s">
        <v>238</v>
      </c>
    </row>
    <row r="13" spans="1:88" outlineLevel="1">
      <c r="A13" s="52"/>
      <c r="B13" s="52" t="s">
        <v>59</v>
      </c>
      <c r="C13" s="9" t="s">
        <v>236</v>
      </c>
      <c r="D13" s="52">
        <v>218121242</v>
      </c>
      <c r="E13" s="9">
        <v>10</v>
      </c>
      <c r="F13" s="9">
        <v>32</v>
      </c>
      <c r="G13" s="9">
        <v>30</v>
      </c>
      <c r="I13" s="10">
        <f t="shared" si="0"/>
        <v>12.03003</v>
      </c>
      <c r="J13" s="11">
        <f t="shared" si="1"/>
        <v>5.8829813558461216E-2</v>
      </c>
      <c r="K13" s="11">
        <f t="shared" si="2"/>
        <v>1.730054333726928E-2</v>
      </c>
      <c r="L13" s="11">
        <f t="shared" si="3"/>
        <v>1.3395559154206539E-2</v>
      </c>
      <c r="M13" s="11">
        <f t="shared" si="4"/>
        <v>4.152927022119194E-2</v>
      </c>
      <c r="N13" s="52">
        <f t="shared" si="5"/>
        <v>3773616</v>
      </c>
      <c r="O13" s="11">
        <v>16</v>
      </c>
      <c r="P13" s="12">
        <v>23291739</v>
      </c>
      <c r="Q13" s="12">
        <v>727866.84375</v>
      </c>
      <c r="R13" s="12">
        <v>28062.03125</v>
      </c>
      <c r="S13" s="13">
        <v>12832032</v>
      </c>
      <c r="T13" s="13">
        <v>2921856</v>
      </c>
      <c r="U13" s="13">
        <v>851760</v>
      </c>
      <c r="V13" s="13">
        <v>9058416</v>
      </c>
      <c r="W13" s="14">
        <v>70.072275000000005</v>
      </c>
      <c r="X13" s="14">
        <v>72.590205999999995</v>
      </c>
      <c r="Y13" s="14">
        <v>38.665965999999997</v>
      </c>
      <c r="Z13" s="14">
        <v>42.107503000000001</v>
      </c>
      <c r="AA13" s="14">
        <v>37.689275000000002</v>
      </c>
      <c r="AB13" s="15">
        <v>3977.03</v>
      </c>
      <c r="AC13" s="15">
        <v>1399.52</v>
      </c>
      <c r="AD13" s="15">
        <v>62.853000000000002</v>
      </c>
      <c r="AE13" s="15">
        <v>19.303999999999998</v>
      </c>
      <c r="AG13" s="10">
        <f t="shared" si="6"/>
        <v>11.998844999999999</v>
      </c>
      <c r="AH13" s="11">
        <f t="shared" si="7"/>
        <v>5.867731121758421E-2</v>
      </c>
      <c r="AI13" s="11">
        <f t="shared" si="8"/>
        <v>1.7148884563934402E-2</v>
      </c>
      <c r="AJ13" s="11">
        <f t="shared" si="9"/>
        <v>1.3394825617213384E-2</v>
      </c>
      <c r="AK13" s="11">
        <f t="shared" si="10"/>
        <v>4.1527839824055286E-2</v>
      </c>
      <c r="AL13" s="52">
        <f t="shared" si="11"/>
        <v>3740536</v>
      </c>
      <c r="AM13" s="11">
        <v>16</v>
      </c>
      <c r="AN13" s="12">
        <v>23299291</v>
      </c>
      <c r="AO13" s="12">
        <v>728102.84375</v>
      </c>
      <c r="AP13" s="12">
        <v>28059.0625</v>
      </c>
      <c r="AQ13" s="13">
        <v>12798768</v>
      </c>
      <c r="AR13" s="13">
        <v>2921696</v>
      </c>
      <c r="AS13" s="13">
        <v>818840</v>
      </c>
      <c r="AT13" s="13">
        <v>9058104</v>
      </c>
      <c r="AU13" s="14">
        <v>70.067155999999997</v>
      </c>
      <c r="AV13" s="14">
        <v>72.583793999999997</v>
      </c>
      <c r="AW13" s="14">
        <v>38.663108999999999</v>
      </c>
      <c r="AX13" s="14">
        <v>42.107013000000002</v>
      </c>
      <c r="AY13" s="14">
        <v>37.689791</v>
      </c>
      <c r="AZ13" s="15">
        <v>3206.63</v>
      </c>
      <c r="BA13" s="15">
        <v>1169.1400000000001</v>
      </c>
      <c r="BB13" s="15">
        <v>57.683999999999997</v>
      </c>
      <c r="BC13" s="15">
        <v>16.859000000000002</v>
      </c>
      <c r="BE13" s="50">
        <f t="shared" si="12"/>
        <v>0.99123387223289283</v>
      </c>
      <c r="BF13" s="16">
        <f t="shared" si="13"/>
        <v>-1.6573821166578073E-5</v>
      </c>
      <c r="BG13" s="16">
        <f t="shared" si="14"/>
        <v>-1.8203154699767965E-3</v>
      </c>
      <c r="BH13" s="16"/>
      <c r="BJ13" s="50"/>
      <c r="BK13" s="50"/>
      <c r="BL13" s="50"/>
      <c r="BM13" s="50"/>
      <c r="BN13" s="50"/>
      <c r="BP13" s="50"/>
      <c r="BQ13" s="50"/>
      <c r="BR13" s="50"/>
      <c r="BS13" s="50"/>
      <c r="BT13" s="50"/>
      <c r="BV13" s="58">
        <f t="shared" si="16"/>
        <v>7552</v>
      </c>
      <c r="BW13" s="58">
        <f t="shared" si="15"/>
        <v>236</v>
      </c>
      <c r="BX13" s="58">
        <f t="shared" si="15"/>
        <v>-2.96875</v>
      </c>
      <c r="BY13" s="58">
        <f t="shared" si="15"/>
        <v>-33264</v>
      </c>
      <c r="BZ13" s="58">
        <f t="shared" si="15"/>
        <v>-160</v>
      </c>
      <c r="CA13" s="58">
        <f t="shared" si="15"/>
        <v>-32920</v>
      </c>
      <c r="CB13" s="58">
        <f t="shared" si="15"/>
        <v>-312</v>
      </c>
      <c r="CC13" s="58">
        <f t="shared" si="15"/>
        <v>-5.1190000000076452E-3</v>
      </c>
      <c r="CD13" s="58">
        <f t="shared" si="15"/>
        <v>-6.4119999999974198E-3</v>
      </c>
      <c r="CE13" s="58">
        <f t="shared" si="15"/>
        <v>-2.8569999999987772E-3</v>
      </c>
      <c r="CF13" s="58">
        <f t="shared" si="15"/>
        <v>-4.8999999999921329E-4</v>
      </c>
      <c r="CG13" s="58">
        <f t="shared" si="15"/>
        <v>5.1599999999751844E-4</v>
      </c>
      <c r="CJ13" t="s">
        <v>238</v>
      </c>
    </row>
    <row r="14" spans="1:88" ht="16" outlineLevel="1" thickBot="1">
      <c r="A14" s="17"/>
      <c r="B14" s="36" t="s">
        <v>59</v>
      </c>
      <c r="C14" s="37" t="s">
        <v>237</v>
      </c>
      <c r="D14" s="36">
        <v>218121242</v>
      </c>
      <c r="E14" s="37">
        <v>10</v>
      </c>
      <c r="F14" s="37">
        <v>32</v>
      </c>
      <c r="G14" s="37">
        <v>30</v>
      </c>
      <c r="I14" s="38">
        <f t="shared" si="0"/>
        <v>21.587354999999999</v>
      </c>
      <c r="J14" s="39">
        <f t="shared" si="1"/>
        <v>0.10556748984585371</v>
      </c>
      <c r="K14" s="39">
        <f t="shared" si="2"/>
        <v>2.838032620408424E-2</v>
      </c>
      <c r="L14" s="39">
        <f t="shared" si="3"/>
        <v>2.1154363315059429E-2</v>
      </c>
      <c r="M14" s="39">
        <f t="shared" si="4"/>
        <v>7.7187163641769474E-2</v>
      </c>
      <c r="N14" s="36">
        <f t="shared" si="5"/>
        <v>6190352</v>
      </c>
      <c r="O14" s="39">
        <v>16</v>
      </c>
      <c r="P14" s="40">
        <v>22124056</v>
      </c>
      <c r="Q14" s="40">
        <v>691376.75</v>
      </c>
      <c r="R14" s="40">
        <v>13278.71875</v>
      </c>
      <c r="S14" s="41">
        <v>23026512</v>
      </c>
      <c r="T14" s="41">
        <v>4614216</v>
      </c>
      <c r="U14" s="41">
        <v>1576136</v>
      </c>
      <c r="V14" s="41">
        <v>16836160</v>
      </c>
      <c r="W14" s="42">
        <v>70.923046999999997</v>
      </c>
      <c r="X14" s="42">
        <v>74.675602999999995</v>
      </c>
      <c r="Y14" s="42">
        <v>40.962909000000003</v>
      </c>
      <c r="Z14" s="42">
        <v>43.423147</v>
      </c>
      <c r="AA14" s="42">
        <v>39.504384000000002</v>
      </c>
      <c r="AB14" s="43">
        <v>3765.11</v>
      </c>
      <c r="AC14" s="43">
        <v>1415.32</v>
      </c>
      <c r="AD14" s="43">
        <v>55.209000000000003</v>
      </c>
      <c r="AE14" s="43">
        <v>19.117000000000001</v>
      </c>
      <c r="AG14" s="38">
        <f t="shared" si="6"/>
        <v>21.553740000000001</v>
      </c>
      <c r="AH14" s="39">
        <f t="shared" si="7"/>
        <v>0.10540310420568759</v>
      </c>
      <c r="AI14" s="39">
        <f t="shared" si="8"/>
        <v>2.8227273710462367E-2</v>
      </c>
      <c r="AJ14" s="39">
        <f t="shared" si="9"/>
        <v>2.115271285682483E-2</v>
      </c>
      <c r="AK14" s="39">
        <f t="shared" si="10"/>
        <v>7.7175243665630694E-2</v>
      </c>
      <c r="AL14" s="36">
        <f t="shared" si="11"/>
        <v>6156968</v>
      </c>
      <c r="AM14" s="39">
        <v>16</v>
      </c>
      <c r="AN14" s="40">
        <v>22125335</v>
      </c>
      <c r="AO14" s="40">
        <v>691416.71875</v>
      </c>
      <c r="AP14" s="40">
        <v>13294.125</v>
      </c>
      <c r="AQ14" s="41">
        <v>22990656</v>
      </c>
      <c r="AR14" s="41">
        <v>4613856</v>
      </c>
      <c r="AS14" s="41">
        <v>1543112</v>
      </c>
      <c r="AT14" s="41">
        <v>16833560</v>
      </c>
      <c r="AU14" s="42">
        <v>70.921858999999998</v>
      </c>
      <c r="AV14" s="42">
        <v>74.681321999999994</v>
      </c>
      <c r="AW14" s="42">
        <v>40.955446999999999</v>
      </c>
      <c r="AX14" s="42">
        <v>43.424396999999999</v>
      </c>
      <c r="AY14" s="42">
        <v>39.501562</v>
      </c>
      <c r="AZ14" s="43">
        <v>3223.3</v>
      </c>
      <c r="BA14" s="43">
        <v>1315.98</v>
      </c>
      <c r="BB14" s="43">
        <v>55.780999999999999</v>
      </c>
      <c r="BC14" s="43">
        <v>18.439</v>
      </c>
      <c r="BE14" s="44">
        <f t="shared" si="12"/>
        <v>0.99460709180996487</v>
      </c>
      <c r="BF14" s="45">
        <f t="shared" si="13"/>
        <v>2.1171895149326575E-5</v>
      </c>
      <c r="BG14" s="45">
        <f t="shared" si="14"/>
        <v>-1.0327944381950394E-3</v>
      </c>
      <c r="BH14" s="45"/>
      <c r="BJ14" s="44"/>
      <c r="BK14" s="44"/>
      <c r="BL14" s="44"/>
      <c r="BM14" s="44"/>
      <c r="BN14" s="44"/>
      <c r="BP14" s="44"/>
      <c r="BQ14" s="44"/>
      <c r="BR14" s="44"/>
      <c r="BS14" s="44"/>
      <c r="BT14" s="44"/>
      <c r="BV14" s="58">
        <f t="shared" si="16"/>
        <v>1279</v>
      </c>
      <c r="BW14" s="58">
        <f t="shared" si="15"/>
        <v>39.96875</v>
      </c>
      <c r="BX14" s="58">
        <f t="shared" si="15"/>
        <v>15.40625</v>
      </c>
      <c r="BY14" s="58">
        <f t="shared" si="15"/>
        <v>-35856</v>
      </c>
      <c r="BZ14" s="58">
        <f t="shared" si="15"/>
        <v>-360</v>
      </c>
      <c r="CA14" s="58">
        <f t="shared" si="15"/>
        <v>-33024</v>
      </c>
      <c r="CB14" s="58">
        <f t="shared" si="15"/>
        <v>-2600</v>
      </c>
      <c r="CC14" s="58">
        <f t="shared" si="15"/>
        <v>-1.1879999999990787E-3</v>
      </c>
      <c r="CD14" s="58">
        <f t="shared" si="15"/>
        <v>5.7189999999991414E-3</v>
      </c>
      <c r="CE14" s="58">
        <f t="shared" si="15"/>
        <v>-7.4620000000038544E-3</v>
      </c>
      <c r="CF14" s="58">
        <f t="shared" si="15"/>
        <v>1.2499999999988631E-3</v>
      </c>
      <c r="CG14" s="58">
        <f t="shared" si="15"/>
        <v>-2.8220000000018786E-3</v>
      </c>
      <c r="CJ14" t="s">
        <v>238</v>
      </c>
    </row>
    <row r="15" spans="1:88">
      <c r="A15" s="52"/>
      <c r="B15" s="52" t="s">
        <v>64</v>
      </c>
      <c r="C15" s="9" t="s">
        <v>232</v>
      </c>
      <c r="D15" s="52">
        <v>322589704</v>
      </c>
      <c r="E15" s="9">
        <v>10</v>
      </c>
      <c r="F15" s="9">
        <v>32</v>
      </c>
      <c r="G15" s="9">
        <v>30</v>
      </c>
      <c r="I15" s="10">
        <f t="shared" si="0"/>
        <v>4.4272425000000002</v>
      </c>
      <c r="J15" s="11">
        <f t="shared" si="1"/>
        <v>1.4639004101631216E-2</v>
      </c>
      <c r="K15" s="11">
        <f t="shared" si="2"/>
        <v>8.3179096131350792E-3</v>
      </c>
      <c r="L15" s="11">
        <f t="shared" si="3"/>
        <v>4.3923534521734149E-3</v>
      </c>
      <c r="M15" s="11">
        <f t="shared" si="4"/>
        <v>6.3210944884961361E-3</v>
      </c>
      <c r="N15" s="52">
        <f t="shared" si="5"/>
        <v>2683272</v>
      </c>
      <c r="O15" s="11">
        <v>16</v>
      </c>
      <c r="P15" s="12">
        <v>31086837</v>
      </c>
      <c r="Q15" s="12">
        <v>971463.65625</v>
      </c>
      <c r="R15" s="12">
        <v>27944.21875</v>
      </c>
      <c r="S15" s="13">
        <v>4722392</v>
      </c>
      <c r="T15" s="13">
        <v>1416928</v>
      </c>
      <c r="U15" s="13">
        <v>1266344</v>
      </c>
      <c r="V15" s="13">
        <v>2039120</v>
      </c>
      <c r="W15" s="14">
        <v>65.923106000000004</v>
      </c>
      <c r="X15" s="14">
        <v>67.661794</v>
      </c>
      <c r="Y15" s="14">
        <v>29.414641</v>
      </c>
      <c r="Z15" s="14">
        <v>43.125697000000002</v>
      </c>
      <c r="AA15" s="14">
        <v>43.263359000000001</v>
      </c>
      <c r="AB15" s="15">
        <v>4770.25</v>
      </c>
      <c r="AC15" s="15">
        <v>1001.59</v>
      </c>
      <c r="AD15" s="15">
        <v>75.224999999999994</v>
      </c>
      <c r="AE15" s="15">
        <v>15.430999999999999</v>
      </c>
      <c r="AG15" s="10">
        <f t="shared" si="6"/>
        <v>4.3822049999999999</v>
      </c>
      <c r="AH15" s="11">
        <f t="shared" si="7"/>
        <v>1.4490084283657112E-2</v>
      </c>
      <c r="AI15" s="11">
        <f t="shared" si="8"/>
        <v>8.1685930063037596E-3</v>
      </c>
      <c r="AJ15" s="11">
        <f t="shared" si="9"/>
        <v>4.3923534521734149E-3</v>
      </c>
      <c r="AK15" s="11">
        <f t="shared" si="10"/>
        <v>6.3210944884961361E-3</v>
      </c>
      <c r="AL15" s="52">
        <f t="shared" si="11"/>
        <v>2635104</v>
      </c>
      <c r="AM15" s="11">
        <v>16</v>
      </c>
      <c r="AN15" s="12">
        <v>31086837</v>
      </c>
      <c r="AO15" s="12">
        <v>971463.65625</v>
      </c>
      <c r="AP15" s="12">
        <v>27944.21875</v>
      </c>
      <c r="AQ15" s="13">
        <v>4674352</v>
      </c>
      <c r="AR15" s="13">
        <v>1416928</v>
      </c>
      <c r="AS15" s="13">
        <v>1218176</v>
      </c>
      <c r="AT15" s="13">
        <v>2039120</v>
      </c>
      <c r="AU15" s="14">
        <v>65.923106000000004</v>
      </c>
      <c r="AV15" s="14">
        <v>67.661794</v>
      </c>
      <c r="AW15" s="14">
        <v>29.414641</v>
      </c>
      <c r="AX15" s="14">
        <v>43.125697000000002</v>
      </c>
      <c r="AY15" s="14">
        <v>43.263359000000001</v>
      </c>
      <c r="AZ15" s="15">
        <v>5691.66</v>
      </c>
      <c r="BA15" s="15">
        <v>1397.54</v>
      </c>
      <c r="BB15" s="15">
        <v>87.917000000000002</v>
      </c>
      <c r="BC15" s="15">
        <v>20.812999999999999</v>
      </c>
      <c r="BE15" s="50">
        <f t="shared" si="12"/>
        <v>0.98204878223303493</v>
      </c>
      <c r="BF15" s="16">
        <f t="shared" si="13"/>
        <v>0</v>
      </c>
      <c r="BG15" s="16">
        <f t="shared" si="14"/>
        <v>-4.465128388261963E-3</v>
      </c>
      <c r="BH15" s="16">
        <f t="array" ref="BH15">AVERAGE(AL15:AL19/AQ15:AQ19) - AVERAGE(N15:N19/S15:S19)</f>
        <v>-2.6648088827169736E-3</v>
      </c>
      <c r="BJ15" s="50">
        <f>IF( OR(ISBLANK(N15:N19),ISBLANK(AL15:AL19), ISBLANK(W15:W19),ISBLANK(AU15:AU19)), "·", bdRateExtend( N15:N19,W15:W19, AL15:AL19,AU15:AU19))</f>
        <v>-1.2667389123924067E-2</v>
      </c>
      <c r="BK15" s="50">
        <f>IF( OR(ISBLANK(N15:N19),ISBLANK(AL15:AL19), ISBLANK(X15:X19),ISBLANK(AV15:AV19)), "·", bdRateExtend( N15:N19,X15:X19, AL15:AL19,AV15:AV19))</f>
        <v>-1.1697921477185957E-2</v>
      </c>
      <c r="BL15" s="50">
        <f>IF( OR(ISBLANK(V15:V19),ISBLANK(AT15:AT19), ISBLANK(Y15:Y19),ISBLANK(AW15:AW19)), "·", bdRateExtend( V15:V19,Y15:Y19, AT15:AT19,AW15:AW19))</f>
        <v>-5.8293454103242048E-5</v>
      </c>
      <c r="BM15" s="50">
        <f>IF( OR(ISBLANK(V15:V19),ISBLANK(AT15:AT19), ISBLANK(Z15:Z19),ISBLANK(AX15:AX19)), "·", bdRateExtend( V15:V19,Z15:Z19, AT15:AT19,AX15:AX19))</f>
        <v>-5.4463655972014635E-4</v>
      </c>
      <c r="BN15" s="50">
        <f>IF( OR(ISBLANK(V15:V19),ISBLANK(AT15:AT19), ISBLANK(AA15:AA19),ISBLANK(AY15:AY19)), "·", bdRateExtend( V15:V19,AA15:AA19, AT15:AT19,AY15:AY19))</f>
        <v>-9.0212944529555195E-4</v>
      </c>
      <c r="BP15" s="50">
        <f>IF( OR(ISBLANK(S15:S19),ISBLANK(AQ15:AQ19), ISBLANK(W15:W19),ISBLANK(AU15:AU19)), "·", bdRateExtend( S15:S19,W15:W19, AQ15:AQ19,AU15:AU19))</f>
        <v>-5.1444954959065647E-3</v>
      </c>
      <c r="BQ15" s="50">
        <f>IF( OR(ISBLANK(S15:S19),ISBLANK(AQ15:AQ19), ISBLANK(X15:X19),ISBLANK(AV15:AV19)), "·", bdRateExtend( S15:S19,X15:X19, AQ15:AQ19,AV15:AV19))</f>
        <v>-4.5540127901155802E-3</v>
      </c>
      <c r="BR15" s="50">
        <f>IF( OR(ISBLANK(S15:S19),ISBLANK(AQ15:AQ19), ISBLANK(Y15:Y19),ISBLANK(AW15:AW19)), "·", bdRateExtend( S15:S19,Y15:Y19, AQ15:AQ19,AW15:AW19))</f>
        <v>-4.4619722674398288E-3</v>
      </c>
      <c r="BS15" s="50">
        <f>IF( OR(ISBLANK(S15:S19),ISBLANK(AQ15:AQ19), ISBLANK(Z15:Z19),ISBLANK(AX15:AX19)), "·", bdRateExtend( S15:S19,Z15:Z19, AQ15:AQ19,AX15:AX19))</f>
        <v>-4.2158931728872862E-3</v>
      </c>
      <c r="BT15" s="50">
        <f>IF( OR(ISBLANK(S15:S19),ISBLANK(AQ15:AQ19), ISBLANK(AA15:AA19),ISBLANK(AY15:AY19)), "·", bdRateExtend( S15:S19,AA15:AA19, AQ15:AQ19,AY15:AY19))</f>
        <v>-4.6402433249523867E-3</v>
      </c>
      <c r="BV15" s="58">
        <f t="shared" si="16"/>
        <v>0</v>
      </c>
      <c r="BW15" s="58">
        <f t="shared" si="15"/>
        <v>0</v>
      </c>
      <c r="BX15" s="58">
        <f t="shared" si="15"/>
        <v>0</v>
      </c>
      <c r="BY15" s="58">
        <f t="shared" si="15"/>
        <v>-48040</v>
      </c>
      <c r="BZ15" s="58">
        <f t="shared" si="15"/>
        <v>0</v>
      </c>
      <c r="CA15" s="58">
        <f t="shared" si="15"/>
        <v>-48168</v>
      </c>
      <c r="CB15" s="58">
        <f t="shared" si="15"/>
        <v>0</v>
      </c>
      <c r="CC15" s="58">
        <f t="shared" si="15"/>
        <v>0</v>
      </c>
      <c r="CD15" s="58">
        <f t="shared" si="15"/>
        <v>0</v>
      </c>
      <c r="CE15" s="58">
        <f t="shared" si="15"/>
        <v>0</v>
      </c>
      <c r="CF15" s="58">
        <f t="shared" si="15"/>
        <v>0</v>
      </c>
      <c r="CG15" s="58">
        <f t="shared" si="15"/>
        <v>0</v>
      </c>
      <c r="CJ15" t="s">
        <v>233</v>
      </c>
    </row>
    <row r="16" spans="1:88" outlineLevel="1">
      <c r="A16" s="17"/>
      <c r="B16" s="17" t="s">
        <v>64</v>
      </c>
      <c r="C16" s="18" t="s">
        <v>234</v>
      </c>
      <c r="D16" s="17">
        <v>322589704</v>
      </c>
      <c r="E16" s="18">
        <v>10</v>
      </c>
      <c r="F16" s="18">
        <v>32</v>
      </c>
      <c r="G16" s="18">
        <v>30</v>
      </c>
      <c r="I16" s="19">
        <f t="shared" si="0"/>
        <v>7.0232849999999996</v>
      </c>
      <c r="J16" s="20">
        <f t="shared" si="1"/>
        <v>2.3223010242137177E-2</v>
      </c>
      <c r="K16" s="20">
        <f t="shared" si="2"/>
        <v>1.0123298913470592E-2</v>
      </c>
      <c r="L16" s="20">
        <f t="shared" si="3"/>
        <v>6.1977427525089267E-3</v>
      </c>
      <c r="M16" s="20">
        <f t="shared" si="4"/>
        <v>1.3099711328666584E-2</v>
      </c>
      <c r="N16" s="17">
        <f t="shared" si="5"/>
        <v>3265672</v>
      </c>
      <c r="O16" s="20">
        <v>16</v>
      </c>
      <c r="P16" s="21">
        <v>33185472</v>
      </c>
      <c r="Q16" s="21">
        <v>1037046</v>
      </c>
      <c r="R16" s="21">
        <v>34748.59375</v>
      </c>
      <c r="S16" s="22">
        <v>7491504</v>
      </c>
      <c r="T16" s="22">
        <v>1999328</v>
      </c>
      <c r="U16" s="22">
        <v>1266344</v>
      </c>
      <c r="V16" s="22">
        <v>4225832</v>
      </c>
      <c r="W16" s="23">
        <v>67.712850000000003</v>
      </c>
      <c r="X16" s="23">
        <v>69.741403000000005</v>
      </c>
      <c r="Y16" s="23">
        <v>31.808309000000001</v>
      </c>
      <c r="Z16" s="23">
        <v>43.976703000000001</v>
      </c>
      <c r="AA16" s="23">
        <v>44.262891000000003</v>
      </c>
      <c r="AB16" s="24">
        <v>4909.97</v>
      </c>
      <c r="AC16" s="24">
        <v>1081.78</v>
      </c>
      <c r="AD16" s="24">
        <v>79.149000000000001</v>
      </c>
      <c r="AE16" s="24">
        <v>15.548999999999999</v>
      </c>
      <c r="AG16" s="19">
        <f t="shared" si="6"/>
        <v>6.9782549999999999</v>
      </c>
      <c r="AH16" s="20">
        <f t="shared" si="7"/>
        <v>2.3074115223466647E-2</v>
      </c>
      <c r="AI16" s="20">
        <f t="shared" si="8"/>
        <v>9.9740071059428483E-3</v>
      </c>
      <c r="AJ16" s="20">
        <f t="shared" si="9"/>
        <v>6.1977427525089267E-3</v>
      </c>
      <c r="AK16" s="20">
        <f t="shared" si="10"/>
        <v>1.3099711328666584E-2</v>
      </c>
      <c r="AL16" s="17">
        <f t="shared" si="11"/>
        <v>3217512</v>
      </c>
      <c r="AM16" s="20">
        <v>16</v>
      </c>
      <c r="AN16" s="21">
        <v>33185472</v>
      </c>
      <c r="AO16" s="21">
        <v>1037046</v>
      </c>
      <c r="AP16" s="21">
        <v>34748.59375</v>
      </c>
      <c r="AQ16" s="22">
        <v>7443472</v>
      </c>
      <c r="AR16" s="22">
        <v>1999328</v>
      </c>
      <c r="AS16" s="22">
        <v>1218184</v>
      </c>
      <c r="AT16" s="22">
        <v>4225832</v>
      </c>
      <c r="AU16" s="23">
        <v>67.712850000000003</v>
      </c>
      <c r="AV16" s="23">
        <v>69.741403000000005</v>
      </c>
      <c r="AW16" s="23">
        <v>31.808309000000001</v>
      </c>
      <c r="AX16" s="23">
        <v>43.976703000000001</v>
      </c>
      <c r="AY16" s="23">
        <v>44.262891000000003</v>
      </c>
      <c r="AZ16" s="24">
        <v>4844.92</v>
      </c>
      <c r="BA16" s="24">
        <v>1079.98</v>
      </c>
      <c r="BB16" s="24">
        <v>84.777000000000001</v>
      </c>
      <c r="BC16" s="24">
        <v>15.006</v>
      </c>
      <c r="BE16" s="49">
        <f t="shared" si="12"/>
        <v>0.98525265244029414</v>
      </c>
      <c r="BF16" s="25">
        <f t="shared" si="13"/>
        <v>0</v>
      </c>
      <c r="BG16" s="25">
        <f t="shared" si="14"/>
        <v>-3.6571706259052594E-3</v>
      </c>
      <c r="BH16" s="25"/>
      <c r="BJ16" s="49"/>
      <c r="BK16" s="49"/>
      <c r="BL16" s="49"/>
      <c r="BM16" s="49"/>
      <c r="BN16" s="49"/>
      <c r="BP16" s="49"/>
      <c r="BQ16" s="49"/>
      <c r="BR16" s="49"/>
      <c r="BS16" s="49"/>
      <c r="BT16" s="49"/>
      <c r="BV16" s="58">
        <f t="shared" si="16"/>
        <v>0</v>
      </c>
      <c r="BW16" s="58">
        <f t="shared" si="15"/>
        <v>0</v>
      </c>
      <c r="BX16" s="58">
        <f t="shared" si="15"/>
        <v>0</v>
      </c>
      <c r="BY16" s="58">
        <f t="shared" si="15"/>
        <v>-48032</v>
      </c>
      <c r="BZ16" s="58">
        <f t="shared" si="15"/>
        <v>0</v>
      </c>
      <c r="CA16" s="58">
        <f t="shared" si="15"/>
        <v>-48160</v>
      </c>
      <c r="CB16" s="58">
        <f t="shared" si="15"/>
        <v>0</v>
      </c>
      <c r="CC16" s="58">
        <f t="shared" si="15"/>
        <v>0</v>
      </c>
      <c r="CD16" s="58">
        <f t="shared" si="15"/>
        <v>0</v>
      </c>
      <c r="CE16" s="58">
        <f t="shared" si="15"/>
        <v>0</v>
      </c>
      <c r="CF16" s="58">
        <f t="shared" si="15"/>
        <v>0</v>
      </c>
      <c r="CG16" s="58">
        <f t="shared" si="15"/>
        <v>0</v>
      </c>
      <c r="CJ16" t="s">
        <v>233</v>
      </c>
    </row>
    <row r="17" spans="1:88" outlineLevel="1">
      <c r="A17" s="52"/>
      <c r="B17" s="52" t="s">
        <v>64</v>
      </c>
      <c r="C17" s="9" t="s">
        <v>235</v>
      </c>
      <c r="D17" s="52">
        <v>322589704</v>
      </c>
      <c r="E17" s="9">
        <v>10</v>
      </c>
      <c r="F17" s="9">
        <v>32</v>
      </c>
      <c r="G17" s="9">
        <v>30</v>
      </c>
      <c r="I17" s="10">
        <f t="shared" si="0"/>
        <v>11.709877499999999</v>
      </c>
      <c r="J17" s="11">
        <f t="shared" si="1"/>
        <v>3.8719574261427761E-2</v>
      </c>
      <c r="K17" s="11">
        <f t="shared" si="2"/>
        <v>1.2882643024465529E-2</v>
      </c>
      <c r="L17" s="11">
        <f t="shared" si="3"/>
        <v>8.9570868635038652E-3</v>
      </c>
      <c r="M17" s="11">
        <f t="shared" si="4"/>
        <v>2.5836931236962232E-2</v>
      </c>
      <c r="N17" s="52">
        <f t="shared" si="5"/>
        <v>4155808</v>
      </c>
      <c r="O17" s="11">
        <v>16</v>
      </c>
      <c r="P17" s="12">
        <v>33604345</v>
      </c>
      <c r="Q17" s="12">
        <v>1050135.78125</v>
      </c>
      <c r="R17" s="12">
        <v>36572.96875</v>
      </c>
      <c r="S17" s="13">
        <v>12490536</v>
      </c>
      <c r="T17" s="13">
        <v>2889464</v>
      </c>
      <c r="U17" s="13">
        <v>1266344</v>
      </c>
      <c r="V17" s="13">
        <v>8334728</v>
      </c>
      <c r="W17" s="14">
        <v>69.134438000000003</v>
      </c>
      <c r="X17" s="14">
        <v>71.597097000000005</v>
      </c>
      <c r="Y17" s="14">
        <v>34.352063000000001</v>
      </c>
      <c r="Z17" s="14">
        <v>44.796078000000001</v>
      </c>
      <c r="AA17" s="14">
        <v>45.206769000000001</v>
      </c>
      <c r="AB17" s="15">
        <v>5733.27</v>
      </c>
      <c r="AC17" s="15">
        <v>1514.9</v>
      </c>
      <c r="AD17" s="15">
        <v>88.995999999999995</v>
      </c>
      <c r="AE17" s="15">
        <v>22.116</v>
      </c>
      <c r="AG17" s="10">
        <f t="shared" si="6"/>
        <v>11.6636925</v>
      </c>
      <c r="AH17" s="11">
        <f t="shared" si="7"/>
        <v>3.8566860150006523E-2</v>
      </c>
      <c r="AI17" s="11">
        <f t="shared" si="8"/>
        <v>1.2732359244794744E-2</v>
      </c>
      <c r="AJ17" s="11">
        <f t="shared" si="9"/>
        <v>8.9561196906643992E-3</v>
      </c>
      <c r="AK17" s="11">
        <f t="shared" si="10"/>
        <v>2.5834104116354561E-2</v>
      </c>
      <c r="AL17" s="52">
        <f t="shared" si="11"/>
        <v>4107328</v>
      </c>
      <c r="AM17" s="11">
        <v>16</v>
      </c>
      <c r="AN17" s="12">
        <v>33602137</v>
      </c>
      <c r="AO17" s="12">
        <v>1050066.78125</v>
      </c>
      <c r="AP17" s="12">
        <v>36579.4375</v>
      </c>
      <c r="AQ17" s="13">
        <v>12441272</v>
      </c>
      <c r="AR17" s="13">
        <v>2889152</v>
      </c>
      <c r="AS17" s="13">
        <v>1218176</v>
      </c>
      <c r="AT17" s="13">
        <v>8333816</v>
      </c>
      <c r="AU17" s="14">
        <v>69.134241000000003</v>
      </c>
      <c r="AV17" s="14">
        <v>71.597503000000003</v>
      </c>
      <c r="AW17" s="14">
        <v>34.352083999999998</v>
      </c>
      <c r="AX17" s="14">
        <v>44.799196999999999</v>
      </c>
      <c r="AY17" s="14">
        <v>45.208044000000001</v>
      </c>
      <c r="AZ17" s="15">
        <v>4744.25</v>
      </c>
      <c r="BA17" s="15">
        <v>1161.0899999999999</v>
      </c>
      <c r="BB17" s="15">
        <v>83.042000000000002</v>
      </c>
      <c r="BC17" s="15">
        <v>16.259</v>
      </c>
      <c r="BE17" s="50">
        <f t="shared" si="12"/>
        <v>0.98833439850926708</v>
      </c>
      <c r="BF17" s="16">
        <f t="shared" si="13"/>
        <v>8.4488014705091929E-6</v>
      </c>
      <c r="BG17" s="16">
        <f t="shared" si="14"/>
        <v>-2.5792420630733059E-3</v>
      </c>
      <c r="BH17" s="16"/>
      <c r="BJ17" s="50"/>
      <c r="BK17" s="50"/>
      <c r="BL17" s="50"/>
      <c r="BM17" s="50"/>
      <c r="BN17" s="50"/>
      <c r="BP17" s="50"/>
      <c r="BQ17" s="50"/>
      <c r="BR17" s="50"/>
      <c r="BS17" s="50"/>
      <c r="BT17" s="50"/>
      <c r="BV17" s="58">
        <f t="shared" si="16"/>
        <v>-2208</v>
      </c>
      <c r="BW17" s="58">
        <f t="shared" si="15"/>
        <v>-69</v>
      </c>
      <c r="BX17" s="58">
        <f t="shared" si="15"/>
        <v>6.46875</v>
      </c>
      <c r="BY17" s="58">
        <f t="shared" si="15"/>
        <v>-49264</v>
      </c>
      <c r="BZ17" s="58">
        <f t="shared" si="15"/>
        <v>-312</v>
      </c>
      <c r="CA17" s="58">
        <f t="shared" si="15"/>
        <v>-48168</v>
      </c>
      <c r="CB17" s="58">
        <f t="shared" si="15"/>
        <v>-912</v>
      </c>
      <c r="CC17" s="58">
        <f t="shared" si="15"/>
        <v>-1.9700000000000273E-4</v>
      </c>
      <c r="CD17" s="58">
        <f t="shared" si="15"/>
        <v>4.0599999999813008E-4</v>
      </c>
      <c r="CE17" s="58">
        <f t="shared" si="15"/>
        <v>2.0999999996718088E-5</v>
      </c>
      <c r="CF17" s="58">
        <f t="shared" si="15"/>
        <v>3.1189999999980955E-3</v>
      </c>
      <c r="CG17" s="58">
        <f t="shared" si="15"/>
        <v>1.274999999999693E-3</v>
      </c>
      <c r="CJ17" t="s">
        <v>233</v>
      </c>
    </row>
    <row r="18" spans="1:88" outlineLevel="1">
      <c r="A18" s="17"/>
      <c r="B18" s="17" t="s">
        <v>64</v>
      </c>
      <c r="C18" s="18" t="s">
        <v>236</v>
      </c>
      <c r="D18" s="17">
        <v>322589704</v>
      </c>
      <c r="E18" s="18">
        <v>10</v>
      </c>
      <c r="F18" s="18">
        <v>32</v>
      </c>
      <c r="G18" s="18">
        <v>30</v>
      </c>
      <c r="I18" s="19">
        <f t="shared" si="0"/>
        <v>20.196885000000002</v>
      </c>
      <c r="J18" s="20">
        <f t="shared" si="1"/>
        <v>6.6782490987375098E-2</v>
      </c>
      <c r="K18" s="20">
        <f t="shared" si="2"/>
        <v>1.7385626169891647E-2</v>
      </c>
      <c r="L18" s="20">
        <f t="shared" si="3"/>
        <v>1.3460070008929981E-2</v>
      </c>
      <c r="M18" s="20">
        <f t="shared" si="4"/>
        <v>4.9396864817483448E-2</v>
      </c>
      <c r="N18" s="17">
        <f t="shared" si="5"/>
        <v>5608424</v>
      </c>
      <c r="O18" s="20">
        <v>16</v>
      </c>
      <c r="P18" s="21">
        <v>34799418</v>
      </c>
      <c r="Q18" s="21">
        <v>1087481.8125</v>
      </c>
      <c r="R18" s="21">
        <v>40860.15625</v>
      </c>
      <c r="S18" s="22">
        <v>21543344</v>
      </c>
      <c r="T18" s="22">
        <v>4342080</v>
      </c>
      <c r="U18" s="22">
        <v>1266344</v>
      </c>
      <c r="V18" s="22">
        <v>15934920</v>
      </c>
      <c r="W18" s="23">
        <v>70.372874999999993</v>
      </c>
      <c r="X18" s="23">
        <v>72.951280999999994</v>
      </c>
      <c r="Y18" s="23">
        <v>37.033180999999999</v>
      </c>
      <c r="Z18" s="23">
        <v>46.138033999999998</v>
      </c>
      <c r="AA18" s="23">
        <v>46.638800000000003</v>
      </c>
      <c r="AB18" s="24">
        <v>4762.1499999999996</v>
      </c>
      <c r="AC18" s="24">
        <v>1298.02</v>
      </c>
      <c r="AD18" s="24">
        <v>83.063999999999993</v>
      </c>
      <c r="AE18" s="24">
        <v>17.048999999999999</v>
      </c>
      <c r="AG18" s="19">
        <f t="shared" si="6"/>
        <v>20.152184999999999</v>
      </c>
      <c r="AH18" s="20">
        <f t="shared" si="7"/>
        <v>6.6634687138061921E-2</v>
      </c>
      <c r="AI18" s="20">
        <f t="shared" si="8"/>
        <v>1.7236334362363902E-2</v>
      </c>
      <c r="AJ18" s="20">
        <f t="shared" si="9"/>
        <v>1.3460070008929981E-2</v>
      </c>
      <c r="AK18" s="20">
        <f t="shared" si="10"/>
        <v>4.9397955986840797E-2</v>
      </c>
      <c r="AL18" s="17">
        <f t="shared" si="11"/>
        <v>5560264</v>
      </c>
      <c r="AM18" s="20">
        <v>16</v>
      </c>
      <c r="AN18" s="21">
        <v>34802570</v>
      </c>
      <c r="AO18" s="21">
        <v>1087580.3125</v>
      </c>
      <c r="AP18" s="21">
        <v>40873.40625</v>
      </c>
      <c r="AQ18" s="22">
        <v>21495664</v>
      </c>
      <c r="AR18" s="22">
        <v>4342080</v>
      </c>
      <c r="AS18" s="22">
        <v>1218184</v>
      </c>
      <c r="AT18" s="22">
        <v>15935272</v>
      </c>
      <c r="AU18" s="23">
        <v>70.372422</v>
      </c>
      <c r="AV18" s="23">
        <v>72.950709000000003</v>
      </c>
      <c r="AW18" s="23">
        <v>37.033337000000003</v>
      </c>
      <c r="AX18" s="23">
        <v>46.1389</v>
      </c>
      <c r="AY18" s="23">
        <v>46.644790999999998</v>
      </c>
      <c r="AZ18" s="24">
        <v>5057.74</v>
      </c>
      <c r="BA18" s="24">
        <v>1374.54</v>
      </c>
      <c r="BB18" s="24">
        <v>91.906999999999996</v>
      </c>
      <c r="BC18" s="24">
        <v>18.707999999999998</v>
      </c>
      <c r="BE18" s="49">
        <f t="shared" si="12"/>
        <v>0.99141291742564397</v>
      </c>
      <c r="BF18" s="25">
        <f t="shared" si="13"/>
        <v>8.7800791205780437E-6</v>
      </c>
      <c r="BG18" s="25">
        <f t="shared" si="14"/>
        <v>-1.6630035451702385E-3</v>
      </c>
      <c r="BH18" s="25"/>
      <c r="BJ18" s="49"/>
      <c r="BK18" s="49"/>
      <c r="BL18" s="49"/>
      <c r="BM18" s="49"/>
      <c r="BN18" s="49"/>
      <c r="BP18" s="49"/>
      <c r="BQ18" s="49"/>
      <c r="BR18" s="49"/>
      <c r="BS18" s="49"/>
      <c r="BT18" s="49"/>
      <c r="BV18" s="58">
        <f t="shared" si="16"/>
        <v>3152</v>
      </c>
      <c r="BW18" s="58">
        <f t="shared" si="15"/>
        <v>98.5</v>
      </c>
      <c r="BX18" s="58">
        <f t="shared" si="15"/>
        <v>13.25</v>
      </c>
      <c r="BY18" s="58">
        <f t="shared" si="15"/>
        <v>-47680</v>
      </c>
      <c r="BZ18" s="58">
        <f t="shared" si="15"/>
        <v>0</v>
      </c>
      <c r="CA18" s="58">
        <f t="shared" si="15"/>
        <v>-48160</v>
      </c>
      <c r="CB18" s="58">
        <f t="shared" si="15"/>
        <v>352</v>
      </c>
      <c r="CC18" s="58">
        <f t="shared" si="15"/>
        <v>-4.5299999999315332E-4</v>
      </c>
      <c r="CD18" s="58">
        <f t="shared" si="15"/>
        <v>-5.7199999999113516E-4</v>
      </c>
      <c r="CE18" s="58">
        <f t="shared" si="15"/>
        <v>1.5600000000404179E-4</v>
      </c>
      <c r="CF18" s="58">
        <f t="shared" si="15"/>
        <v>8.6600000000203181E-4</v>
      </c>
      <c r="CG18" s="58">
        <f t="shared" si="15"/>
        <v>5.9909999999945285E-3</v>
      </c>
      <c r="CJ18" t="s">
        <v>233</v>
      </c>
    </row>
    <row r="19" spans="1:88" ht="16" outlineLevel="1" thickBot="1">
      <c r="A19" s="52"/>
      <c r="B19" s="26" t="s">
        <v>64</v>
      </c>
      <c r="C19" s="27" t="s">
        <v>237</v>
      </c>
      <c r="D19" s="26">
        <v>322589704</v>
      </c>
      <c r="E19" s="27">
        <v>10</v>
      </c>
      <c r="F19" s="27">
        <v>32</v>
      </c>
      <c r="G19" s="27">
        <v>30</v>
      </c>
      <c r="I19" s="28">
        <f t="shared" si="0"/>
        <v>35.713687499999999</v>
      </c>
      <c r="J19" s="29">
        <f t="shared" si="1"/>
        <v>0.11808994375096361</v>
      </c>
      <c r="K19" s="29">
        <f t="shared" si="2"/>
        <v>2.7855396153623056E-2</v>
      </c>
      <c r="L19" s="29">
        <f t="shared" si="3"/>
        <v>2.0647974555319349E-2</v>
      </c>
      <c r="M19" s="29">
        <f t="shared" si="4"/>
        <v>9.023454759734055E-2</v>
      </c>
      <c r="N19" s="26">
        <f t="shared" si="5"/>
        <v>8985864</v>
      </c>
      <c r="O19" s="29">
        <v>16</v>
      </c>
      <c r="P19" s="30">
        <v>33039030</v>
      </c>
      <c r="Q19" s="30">
        <v>1032469.6875</v>
      </c>
      <c r="R19" s="30">
        <v>17754.53125</v>
      </c>
      <c r="S19" s="31">
        <v>38094600</v>
      </c>
      <c r="T19" s="31">
        <v>6660824</v>
      </c>
      <c r="U19" s="31">
        <v>2325040</v>
      </c>
      <c r="V19" s="31">
        <v>29108736</v>
      </c>
      <c r="W19" s="32">
        <v>71.149227999999994</v>
      </c>
      <c r="X19" s="32">
        <v>75.004366000000005</v>
      </c>
      <c r="Y19" s="32">
        <v>39.539543999999999</v>
      </c>
      <c r="Z19" s="32">
        <v>47.871558999999998</v>
      </c>
      <c r="AA19" s="32">
        <v>48.474975000000001</v>
      </c>
      <c r="AB19" s="33">
        <v>5118.1899999999996</v>
      </c>
      <c r="AC19" s="33">
        <v>1651.37</v>
      </c>
      <c r="AD19" s="33">
        <v>86.103999999999999</v>
      </c>
      <c r="AE19" s="33">
        <v>22.335000000000001</v>
      </c>
      <c r="AG19" s="28">
        <f t="shared" si="6"/>
        <v>35.666692500000003</v>
      </c>
      <c r="AH19" s="29">
        <f t="shared" si="7"/>
        <v>0.11793455131475616</v>
      </c>
      <c r="AI19" s="29">
        <f t="shared" si="8"/>
        <v>2.7705583560720216E-2</v>
      </c>
      <c r="AJ19" s="29">
        <f t="shared" si="9"/>
        <v>2.0647478569247826E-2</v>
      </c>
      <c r="AK19" s="29">
        <f t="shared" si="10"/>
        <v>9.0228570965178723E-2</v>
      </c>
      <c r="AL19" s="26">
        <f t="shared" si="11"/>
        <v>8937536</v>
      </c>
      <c r="AM19" s="29">
        <v>16</v>
      </c>
      <c r="AN19" s="30">
        <v>33042374</v>
      </c>
      <c r="AO19" s="30">
        <v>1032574.1875</v>
      </c>
      <c r="AP19" s="30">
        <v>17761.0625</v>
      </c>
      <c r="AQ19" s="31">
        <v>38044472</v>
      </c>
      <c r="AR19" s="31">
        <v>6660664</v>
      </c>
      <c r="AS19" s="31">
        <v>2276872</v>
      </c>
      <c r="AT19" s="31">
        <v>29106808</v>
      </c>
      <c r="AU19" s="32">
        <v>71.149422000000001</v>
      </c>
      <c r="AV19" s="32">
        <v>75.002240999999998</v>
      </c>
      <c r="AW19" s="32">
        <v>39.54045</v>
      </c>
      <c r="AX19" s="32">
        <v>47.871453000000002</v>
      </c>
      <c r="AY19" s="32">
        <v>48.470669000000001</v>
      </c>
      <c r="AZ19" s="33">
        <v>5909.46</v>
      </c>
      <c r="BA19" s="33">
        <v>2132.77</v>
      </c>
      <c r="BB19" s="33">
        <v>91.897999999999996</v>
      </c>
      <c r="BC19" s="33">
        <v>27.677</v>
      </c>
      <c r="BE19" s="34">
        <f t="shared" si="12"/>
        <v>0.99462177482321124</v>
      </c>
      <c r="BF19" s="35">
        <f t="shared" si="13"/>
        <v>4.584900131578834E-6</v>
      </c>
      <c r="BG19" s="35">
        <f t="shared" si="14"/>
        <v>-9.5949979117371242E-4</v>
      </c>
      <c r="BH19" s="35"/>
      <c r="BJ19" s="34"/>
      <c r="BK19" s="34"/>
      <c r="BL19" s="34"/>
      <c r="BM19" s="34"/>
      <c r="BN19" s="34"/>
      <c r="BP19" s="34"/>
      <c r="BQ19" s="34"/>
      <c r="BR19" s="34"/>
      <c r="BS19" s="34"/>
      <c r="BT19" s="34"/>
      <c r="BV19" s="58">
        <f t="shared" si="16"/>
        <v>3344</v>
      </c>
      <c r="BW19" s="58">
        <f t="shared" si="15"/>
        <v>104.5</v>
      </c>
      <c r="BX19" s="58">
        <f t="shared" si="15"/>
        <v>6.53125</v>
      </c>
      <c r="BY19" s="58">
        <f t="shared" si="15"/>
        <v>-50128</v>
      </c>
      <c r="BZ19" s="58">
        <f t="shared" si="15"/>
        <v>-160</v>
      </c>
      <c r="CA19" s="58">
        <f t="shared" si="15"/>
        <v>-48168</v>
      </c>
      <c r="CB19" s="58">
        <f t="shared" si="15"/>
        <v>-1928</v>
      </c>
      <c r="CC19" s="58">
        <f t="shared" si="15"/>
        <v>1.94000000007577E-4</v>
      </c>
      <c r="CD19" s="58">
        <f t="shared" si="15"/>
        <v>-2.1250000000065938E-3</v>
      </c>
      <c r="CE19" s="58">
        <f t="shared" si="15"/>
        <v>9.060000000005175E-4</v>
      </c>
      <c r="CF19" s="58">
        <f t="shared" si="15"/>
        <v>-1.0599999999527654E-4</v>
      </c>
      <c r="CG19" s="58">
        <f t="shared" si="15"/>
        <v>-4.305999999999699E-3</v>
      </c>
      <c r="CJ19" t="s">
        <v>233</v>
      </c>
    </row>
    <row r="20" spans="1:88">
      <c r="A20" s="17"/>
      <c r="B20" s="17" t="s">
        <v>70</v>
      </c>
      <c r="C20" s="18" t="s">
        <v>232</v>
      </c>
      <c r="D20" s="17">
        <v>250602891</v>
      </c>
      <c r="E20" s="18">
        <v>10</v>
      </c>
      <c r="F20" s="18">
        <v>32</v>
      </c>
      <c r="G20" s="18">
        <v>50</v>
      </c>
      <c r="I20" s="19">
        <f t="shared" si="0"/>
        <v>5.1414875000000002</v>
      </c>
      <c r="J20" s="20">
        <f t="shared" si="1"/>
        <v>1.3130542855549101E-2</v>
      </c>
      <c r="K20" s="20">
        <f t="shared" si="2"/>
        <v>7.7059286598573197E-3</v>
      </c>
      <c r="L20" s="20">
        <f t="shared" si="3"/>
        <v>3.7835477324960308E-3</v>
      </c>
      <c r="M20" s="20">
        <f t="shared" si="4"/>
        <v>5.4246141956917808E-3</v>
      </c>
      <c r="N20" s="17">
        <f t="shared" si="5"/>
        <v>1931128</v>
      </c>
      <c r="O20" s="20">
        <v>16</v>
      </c>
      <c r="P20" s="21">
        <v>30274532</v>
      </c>
      <c r="Q20" s="21">
        <v>946079.125</v>
      </c>
      <c r="R20" s="21">
        <v>27842.25</v>
      </c>
      <c r="S20" s="22">
        <v>3290552</v>
      </c>
      <c r="T20" s="22">
        <v>948168</v>
      </c>
      <c r="U20" s="22">
        <v>982960</v>
      </c>
      <c r="V20" s="22">
        <v>1359424</v>
      </c>
      <c r="W20" s="23">
        <v>67.105800000000002</v>
      </c>
      <c r="X20" s="23">
        <v>68.817099999999996</v>
      </c>
      <c r="Y20" s="23">
        <v>30.700693999999999</v>
      </c>
      <c r="Z20" s="23">
        <v>39.522633999999996</v>
      </c>
      <c r="AA20" s="23">
        <v>38.268194000000001</v>
      </c>
      <c r="AB20" s="24">
        <v>5067.82</v>
      </c>
      <c r="AC20" s="24">
        <v>1520.24</v>
      </c>
      <c r="AD20" s="24">
        <v>86.619</v>
      </c>
      <c r="AE20" s="24">
        <v>22.984999999999999</v>
      </c>
      <c r="AG20" s="19">
        <f t="shared" si="6"/>
        <v>5.1277999999999997</v>
      </c>
      <c r="AH20" s="20">
        <f t="shared" si="7"/>
        <v>1.309558715346185E-2</v>
      </c>
      <c r="AI20" s="20">
        <f t="shared" si="8"/>
        <v>7.6116919177919616E-3</v>
      </c>
      <c r="AJ20" s="20">
        <f t="shared" si="9"/>
        <v>3.7722469849719329E-3</v>
      </c>
      <c r="AK20" s="20">
        <f t="shared" si="10"/>
        <v>5.4833844674202102E-3</v>
      </c>
      <c r="AL20" s="17">
        <f t="shared" si="11"/>
        <v>1907512</v>
      </c>
      <c r="AM20" s="20">
        <v>16</v>
      </c>
      <c r="AN20" s="21">
        <v>27895059</v>
      </c>
      <c r="AO20" s="21">
        <v>871720.59375</v>
      </c>
      <c r="AP20" s="21">
        <v>24142.21875</v>
      </c>
      <c r="AQ20" s="22">
        <v>3281792</v>
      </c>
      <c r="AR20" s="22">
        <v>945336</v>
      </c>
      <c r="AS20" s="22">
        <v>962176</v>
      </c>
      <c r="AT20" s="22">
        <v>1374152</v>
      </c>
      <c r="AU20" s="23">
        <v>66.740497000000005</v>
      </c>
      <c r="AV20" s="23">
        <v>68.830252999999999</v>
      </c>
      <c r="AW20" s="23">
        <v>30.765675000000002</v>
      </c>
      <c r="AX20" s="23">
        <v>39.548425000000002</v>
      </c>
      <c r="AY20" s="23">
        <v>38.311391</v>
      </c>
      <c r="AZ20" s="24">
        <v>4230.26</v>
      </c>
      <c r="BA20" s="24">
        <v>1087.0899999999999</v>
      </c>
      <c r="BB20" s="24">
        <v>69.400999999999996</v>
      </c>
      <c r="BC20" s="24">
        <v>15.781000000000001</v>
      </c>
      <c r="BE20" s="49">
        <f t="shared" si="12"/>
        <v>0.98777087795319629</v>
      </c>
      <c r="BF20" s="25">
        <f t="shared" si="13"/>
        <v>-1.734187735105492E-3</v>
      </c>
      <c r="BG20" s="25">
        <f t="shared" si="14"/>
        <v>-5.6295506074640622E-3</v>
      </c>
      <c r="BH20" s="25">
        <f t="array" ref="BH20">AVERAGE(AL20:AL24/AQ20:AQ24) - AVERAGE(N20:N24/S20:S24)</f>
        <v>-1.4599046215263978E-3</v>
      </c>
      <c r="BJ20" s="49">
        <f>IF( OR(ISBLANK(N20:N24),ISBLANK(AL20:AL24), ISBLANK(W20:W24),ISBLANK(AU20:AU24)), "·", bdRateExtend( N20:N24,W20:W24, AL20:AL24,AU20:AU24))</f>
        <v>0.12179482519480134</v>
      </c>
      <c r="BK20" s="49">
        <f>IF( OR(ISBLANK(N20:N24),ISBLANK(AL20:AL24), ISBLANK(X20:X24),ISBLANK(AV20:AV24)), "·", bdRateExtend( N20:N24,X20:X24, AL20:AL24,AV20:AV24))</f>
        <v>3.2771757429197468E-3</v>
      </c>
      <c r="BL20" s="49">
        <f>IF( OR(ISBLANK(V20:V24),ISBLANK(AT20:AT24), ISBLANK(Y20:Y24),ISBLANK(AW20:AW24)), "·", bdRateExtend( V20:V24,Y20:Y24, AT20:AT24,AW20:AW24))</f>
        <v>1.9183682453421502E-2</v>
      </c>
      <c r="BM20" s="49">
        <f>IF( OR(ISBLANK(V20:V24),ISBLANK(AT20:AT24), ISBLANK(Z20:Z24),ISBLANK(AX20:AX24)), "·", bdRateExtend( V20:V24,Z20:Z24, AT20:AT24,AX20:AX24))</f>
        <v>-2.7237983363934792E-2</v>
      </c>
      <c r="BN20" s="49">
        <f>IF( OR(ISBLANK(V20:V24),ISBLANK(AT20:AT24), ISBLANK(AA20:AA24),ISBLANK(AY20:AY24)), "·", bdRateExtend( V20:V24,AA20:AA24, AT20:AT24,AY20:AY24))</f>
        <v>-3.1923245193814398E-2</v>
      </c>
      <c r="BP20" s="49">
        <f>IF( OR(ISBLANK(S20:S24),ISBLANK(AQ20:AQ24), ISBLANK(W20:W24),ISBLANK(AU20:AU24)), "·", bdRateExtend( S20:S24,W20:W24, AQ20:AQ24,AU20:AU24))</f>
        <v>0.2649975965113549</v>
      </c>
      <c r="BQ20" s="49">
        <f>IF( OR(ISBLANK(S20:S24),ISBLANK(AQ20:AQ24), ISBLANK(X20:X24),ISBLANK(AV20:AV24)), "·", bdRateExtend( S20:S24,X20:X24, AQ20:AQ24,AV20:AV24))</f>
        <v>3.4555888956937508E-3</v>
      </c>
      <c r="BR20" s="49">
        <f>IF( OR(ISBLANK(S20:S24),ISBLANK(AQ20:AQ24), ISBLANK(Y20:Y24),ISBLANK(AW20:AW24)), "·", bdRateExtend( S20:S24,Y20:Y24, AQ20:AQ24,AW20:AW24))</f>
        <v>1.3652287960774556E-2</v>
      </c>
      <c r="BS20" s="49">
        <f>IF( OR(ISBLANK(S20:S24),ISBLANK(AQ20:AQ24), ISBLANK(Z20:Z24),ISBLANK(AX20:AX24)), "·", bdRateExtend( S20:S24,Z20:Z24, AQ20:AQ24,AX20:AX24))</f>
        <v>-2.5822529291901652E-2</v>
      </c>
      <c r="BT20" s="49">
        <f>IF( OR(ISBLANK(S20:S24),ISBLANK(AQ20:AQ24), ISBLANK(AA20:AA24),ISBLANK(AY20:AY24)), "·", bdRateExtend( S20:S24,AA20:AA24, AQ20:AQ24,AY20:AY24))</f>
        <v>-3.0005959606933419E-2</v>
      </c>
      <c r="BV20" s="58">
        <f t="shared" si="16"/>
        <v>-2379473</v>
      </c>
      <c r="BW20" s="58">
        <f t="shared" si="15"/>
        <v>-74358.53125</v>
      </c>
      <c r="BX20" s="58">
        <f t="shared" si="15"/>
        <v>-3700.03125</v>
      </c>
      <c r="BY20" s="58">
        <f t="shared" si="15"/>
        <v>-8760</v>
      </c>
      <c r="BZ20" s="58">
        <f t="shared" si="15"/>
        <v>-2832</v>
      </c>
      <c r="CA20" s="58">
        <f t="shared" si="15"/>
        <v>-20784</v>
      </c>
      <c r="CB20" s="58">
        <f t="shared" si="15"/>
        <v>14728</v>
      </c>
      <c r="CC20" s="58">
        <f t="shared" si="15"/>
        <v>-0.36530299999999727</v>
      </c>
      <c r="CD20" s="58">
        <f t="shared" si="15"/>
        <v>1.3153000000002635E-2</v>
      </c>
      <c r="CE20" s="58">
        <f t="shared" si="15"/>
        <v>6.4981000000003064E-2</v>
      </c>
      <c r="CF20" s="58">
        <f t="shared" si="15"/>
        <v>2.5791000000005226E-2</v>
      </c>
      <c r="CG20" s="58">
        <f t="shared" si="15"/>
        <v>4.3196999999999264E-2</v>
      </c>
      <c r="CJ20" t="s">
        <v>239</v>
      </c>
    </row>
    <row r="21" spans="1:88" outlineLevel="1">
      <c r="A21" s="52"/>
      <c r="B21" s="52" t="s">
        <v>70</v>
      </c>
      <c r="C21" s="9" t="s">
        <v>234</v>
      </c>
      <c r="D21" s="52">
        <v>250602891</v>
      </c>
      <c r="E21" s="9">
        <v>10</v>
      </c>
      <c r="F21" s="9">
        <v>32</v>
      </c>
      <c r="G21" s="9">
        <v>50</v>
      </c>
      <c r="I21" s="10">
        <f t="shared" si="0"/>
        <v>7.6273375000000003</v>
      </c>
      <c r="J21" s="11">
        <f t="shared" si="1"/>
        <v>1.9479009122843678E-2</v>
      </c>
      <c r="K21" s="11">
        <f t="shared" si="2"/>
        <v>9.149295887412567E-3</v>
      </c>
      <c r="L21" s="11">
        <f t="shared" si="3"/>
        <v>5.226914960051279E-3</v>
      </c>
      <c r="M21" s="11">
        <f t="shared" si="4"/>
        <v>1.0329713235431111E-2</v>
      </c>
      <c r="N21" s="52">
        <f t="shared" si="5"/>
        <v>2292840</v>
      </c>
      <c r="O21" s="11">
        <v>16</v>
      </c>
      <c r="P21" s="12">
        <v>31505484</v>
      </c>
      <c r="Q21" s="12">
        <v>984546.375</v>
      </c>
      <c r="R21" s="12">
        <v>33029.375</v>
      </c>
      <c r="S21" s="13">
        <v>4881496</v>
      </c>
      <c r="T21" s="13">
        <v>1309880</v>
      </c>
      <c r="U21" s="13">
        <v>982960</v>
      </c>
      <c r="V21" s="13">
        <v>2588656</v>
      </c>
      <c r="W21" s="14">
        <v>68.686527999999996</v>
      </c>
      <c r="X21" s="14">
        <v>70.761815999999996</v>
      </c>
      <c r="Y21" s="14">
        <v>32.514736999999997</v>
      </c>
      <c r="Z21" s="14">
        <v>40.675966000000003</v>
      </c>
      <c r="AA21" s="14">
        <v>39.602231000000003</v>
      </c>
      <c r="AB21" s="15">
        <v>3999.02</v>
      </c>
      <c r="AC21" s="15">
        <v>1143.4100000000001</v>
      </c>
      <c r="AD21" s="15">
        <v>71.858000000000004</v>
      </c>
      <c r="AE21" s="15">
        <v>15.779</v>
      </c>
      <c r="AG21" s="10">
        <f t="shared" si="6"/>
        <v>7.5742624999999997</v>
      </c>
      <c r="AH21" s="11">
        <f t="shared" si="7"/>
        <v>1.9343463998585716E-2</v>
      </c>
      <c r="AI21" s="11">
        <f t="shared" si="8"/>
        <v>9.0579002937360362E-3</v>
      </c>
      <c r="AJ21" s="11">
        <f t="shared" si="9"/>
        <v>5.2184553609160083E-3</v>
      </c>
      <c r="AK21" s="11">
        <f t="shared" si="10"/>
        <v>1.0285052936600002E-2</v>
      </c>
      <c r="AL21" s="52">
        <f t="shared" si="11"/>
        <v>2269936</v>
      </c>
      <c r="AM21" s="11">
        <v>16</v>
      </c>
      <c r="AN21" s="12">
        <v>29065751</v>
      </c>
      <c r="AO21" s="12">
        <v>908304.71875</v>
      </c>
      <c r="AP21" s="12">
        <v>28746.4375</v>
      </c>
      <c r="AQ21" s="13">
        <v>4847528</v>
      </c>
      <c r="AR21" s="13">
        <v>1307760</v>
      </c>
      <c r="AS21" s="13">
        <v>962176</v>
      </c>
      <c r="AT21" s="13">
        <v>2577464</v>
      </c>
      <c r="AU21" s="14">
        <v>68.182775000000007</v>
      </c>
      <c r="AV21" s="14">
        <v>70.749455999999995</v>
      </c>
      <c r="AW21" s="14">
        <v>32.513381000000003</v>
      </c>
      <c r="AX21" s="14">
        <v>40.698084000000001</v>
      </c>
      <c r="AY21" s="14">
        <v>39.622293999999997</v>
      </c>
      <c r="AZ21" s="15">
        <v>4110.43</v>
      </c>
      <c r="BA21" s="15">
        <v>1073.03</v>
      </c>
      <c r="BB21" s="15">
        <v>70.611000000000004</v>
      </c>
      <c r="BC21" s="15">
        <v>15.949</v>
      </c>
      <c r="BE21" s="50">
        <f t="shared" si="12"/>
        <v>0.99001064182411336</v>
      </c>
      <c r="BF21" s="16">
        <f t="shared" si="13"/>
        <v>-1.8993591523935177E-3</v>
      </c>
      <c r="BG21" s="16">
        <f t="shared" si="14"/>
        <v>-1.43355977593429E-3</v>
      </c>
      <c r="BH21" s="16"/>
      <c r="BJ21" s="50"/>
      <c r="BK21" s="50"/>
      <c r="BL21" s="50"/>
      <c r="BM21" s="50"/>
      <c r="BN21" s="50"/>
      <c r="BP21" s="50"/>
      <c r="BQ21" s="50"/>
      <c r="BR21" s="50"/>
      <c r="BS21" s="50"/>
      <c r="BT21" s="50"/>
      <c r="BV21" s="58">
        <f t="shared" si="16"/>
        <v>-2439733</v>
      </c>
      <c r="BW21" s="58">
        <f t="shared" si="16"/>
        <v>-76241.65625</v>
      </c>
      <c r="BX21" s="58">
        <f t="shared" si="16"/>
        <v>-4282.9375</v>
      </c>
      <c r="BY21" s="58">
        <f t="shared" si="16"/>
        <v>-33968</v>
      </c>
      <c r="BZ21" s="58">
        <f t="shared" si="16"/>
        <v>-2120</v>
      </c>
      <c r="CA21" s="58">
        <f t="shared" si="16"/>
        <v>-20784</v>
      </c>
      <c r="CB21" s="58">
        <f t="shared" si="16"/>
        <v>-11192</v>
      </c>
      <c r="CC21" s="58">
        <f t="shared" si="16"/>
        <v>-0.50375299999998902</v>
      </c>
      <c r="CD21" s="58">
        <f t="shared" si="16"/>
        <v>-1.2360000000001037E-2</v>
      </c>
      <c r="CE21" s="58">
        <f t="shared" si="16"/>
        <v>-1.3559999999941397E-3</v>
      </c>
      <c r="CF21" s="58">
        <f t="shared" si="16"/>
        <v>2.2117999999998972E-2</v>
      </c>
      <c r="CG21" s="58">
        <f t="shared" si="16"/>
        <v>2.0062999999993281E-2</v>
      </c>
      <c r="CJ21" t="s">
        <v>239</v>
      </c>
    </row>
    <row r="22" spans="1:88" outlineLevel="1">
      <c r="A22" s="17"/>
      <c r="B22" s="17" t="s">
        <v>70</v>
      </c>
      <c r="C22" s="18" t="s">
        <v>235</v>
      </c>
      <c r="D22" s="17">
        <v>250602891</v>
      </c>
      <c r="E22" s="18">
        <v>10</v>
      </c>
      <c r="F22" s="18">
        <v>32</v>
      </c>
      <c r="G22" s="18">
        <v>50</v>
      </c>
      <c r="I22" s="19">
        <f t="shared" si="0"/>
        <v>12.386075</v>
      </c>
      <c r="J22" s="20">
        <f t="shared" si="1"/>
        <v>3.1632069240573928E-2</v>
      </c>
      <c r="K22" s="20">
        <f t="shared" si="2"/>
        <v>1.1394345805851058E-2</v>
      </c>
      <c r="L22" s="20">
        <f t="shared" si="3"/>
        <v>7.4719648784897699E-3</v>
      </c>
      <c r="M22" s="20">
        <f t="shared" si="4"/>
        <v>2.0237723434722864E-2</v>
      </c>
      <c r="N22" s="17">
        <f t="shared" si="5"/>
        <v>2855456</v>
      </c>
      <c r="O22" s="20">
        <v>16</v>
      </c>
      <c r="P22" s="21">
        <v>32735750</v>
      </c>
      <c r="Q22" s="21">
        <v>1022992.1875</v>
      </c>
      <c r="R22" s="21">
        <v>35066.4375</v>
      </c>
      <c r="S22" s="22">
        <v>7927088</v>
      </c>
      <c r="T22" s="22">
        <v>1872496</v>
      </c>
      <c r="U22" s="22">
        <v>982960</v>
      </c>
      <c r="V22" s="22">
        <v>5071632</v>
      </c>
      <c r="W22" s="23">
        <v>69.861822000000004</v>
      </c>
      <c r="X22" s="23">
        <v>72.258756000000005</v>
      </c>
      <c r="Y22" s="23">
        <v>34.267000000000003</v>
      </c>
      <c r="Z22" s="23">
        <v>41.728212999999997</v>
      </c>
      <c r="AA22" s="23">
        <v>40.647272000000001</v>
      </c>
      <c r="AB22" s="24">
        <v>5365.97</v>
      </c>
      <c r="AC22" s="24">
        <v>1721.51</v>
      </c>
      <c r="AD22" s="24">
        <v>91.203999999999994</v>
      </c>
      <c r="AE22" s="24">
        <v>24.335000000000001</v>
      </c>
      <c r="AG22" s="19">
        <f t="shared" si="6"/>
        <v>12.2589375</v>
      </c>
      <c r="AH22" s="20">
        <f t="shared" si="7"/>
        <v>3.1307380248857541E-2</v>
      </c>
      <c r="AI22" s="20">
        <f t="shared" si="8"/>
        <v>1.1263940287105466E-2</v>
      </c>
      <c r="AJ22" s="20">
        <f t="shared" si="9"/>
        <v>7.4244953542854384E-3</v>
      </c>
      <c r="AK22" s="20">
        <f t="shared" si="10"/>
        <v>2.0042929193502399E-2</v>
      </c>
      <c r="AL22" s="17">
        <f t="shared" si="11"/>
        <v>2822776</v>
      </c>
      <c r="AM22" s="20">
        <v>16</v>
      </c>
      <c r="AN22" s="21">
        <v>29877010</v>
      </c>
      <c r="AO22" s="21">
        <v>933656.5625</v>
      </c>
      <c r="AP22" s="21">
        <v>30288.28125</v>
      </c>
      <c r="AQ22" s="22">
        <v>7845720</v>
      </c>
      <c r="AR22" s="22">
        <v>1860600</v>
      </c>
      <c r="AS22" s="22">
        <v>962176</v>
      </c>
      <c r="AT22" s="22">
        <v>5022816</v>
      </c>
      <c r="AU22" s="23">
        <v>69.306630999999996</v>
      </c>
      <c r="AV22" s="23">
        <v>72.299394000000007</v>
      </c>
      <c r="AW22" s="23">
        <v>34.154190999999997</v>
      </c>
      <c r="AX22" s="23">
        <v>41.761800000000001</v>
      </c>
      <c r="AY22" s="23">
        <v>40.688025000000003</v>
      </c>
      <c r="AZ22" s="24">
        <v>5547.99</v>
      </c>
      <c r="BA22" s="24">
        <v>1703.73</v>
      </c>
      <c r="BB22" s="24">
        <v>92.177999999999997</v>
      </c>
      <c r="BC22" s="24">
        <v>24.631</v>
      </c>
      <c r="BE22" s="49">
        <f t="shared" si="12"/>
        <v>0.98855524301547637</v>
      </c>
      <c r="BF22" s="25">
        <f t="shared" si="13"/>
        <v>-1.8378090834535801E-3</v>
      </c>
      <c r="BG22" s="25">
        <f t="shared" si="14"/>
        <v>-4.2953685834279387E-4</v>
      </c>
      <c r="BH22" s="25"/>
      <c r="BJ22" s="49"/>
      <c r="BK22" s="49"/>
      <c r="BL22" s="49"/>
      <c r="BM22" s="49"/>
      <c r="BN22" s="49"/>
      <c r="BP22" s="49"/>
      <c r="BQ22" s="49"/>
      <c r="BR22" s="49"/>
      <c r="BS22" s="49"/>
      <c r="BT22" s="49"/>
      <c r="BV22" s="58">
        <f t="shared" si="16"/>
        <v>-2858740</v>
      </c>
      <c r="BW22" s="58">
        <f t="shared" si="16"/>
        <v>-89335.625</v>
      </c>
      <c r="BX22" s="58">
        <f t="shared" si="16"/>
        <v>-4778.15625</v>
      </c>
      <c r="BY22" s="58">
        <f t="shared" si="16"/>
        <v>-81368</v>
      </c>
      <c r="BZ22" s="58">
        <f t="shared" si="16"/>
        <v>-11896</v>
      </c>
      <c r="CA22" s="58">
        <f t="shared" si="16"/>
        <v>-20784</v>
      </c>
      <c r="CB22" s="58">
        <f t="shared" si="16"/>
        <v>-48816</v>
      </c>
      <c r="CC22" s="58">
        <f t="shared" si="16"/>
        <v>-0.55519100000000776</v>
      </c>
      <c r="CD22" s="58">
        <f t="shared" si="16"/>
        <v>4.0638000000001284E-2</v>
      </c>
      <c r="CE22" s="58">
        <f t="shared" si="16"/>
        <v>-0.11280900000000571</v>
      </c>
      <c r="CF22" s="58">
        <f t="shared" si="16"/>
        <v>3.3587000000004252E-2</v>
      </c>
      <c r="CG22" s="58">
        <f t="shared" si="16"/>
        <v>4.075300000000226E-2</v>
      </c>
      <c r="CJ22" t="s">
        <v>239</v>
      </c>
    </row>
    <row r="23" spans="1:88" outlineLevel="1">
      <c r="A23" s="52"/>
      <c r="B23" s="52" t="s">
        <v>70</v>
      </c>
      <c r="C23" s="9" t="s">
        <v>236</v>
      </c>
      <c r="D23" s="52">
        <v>250602891</v>
      </c>
      <c r="E23" s="9">
        <v>10</v>
      </c>
      <c r="F23" s="9">
        <v>32</v>
      </c>
      <c r="G23" s="9">
        <v>50</v>
      </c>
      <c r="I23" s="10">
        <f t="shared" si="0"/>
        <v>22.036375</v>
      </c>
      <c r="J23" s="11">
        <f t="shared" si="1"/>
        <v>5.6277403439850979E-2</v>
      </c>
      <c r="K23" s="11">
        <f t="shared" si="2"/>
        <v>1.532240902999E-2</v>
      </c>
      <c r="L23" s="11">
        <f t="shared" si="3"/>
        <v>1.1400028102628712E-2</v>
      </c>
      <c r="M23" s="11">
        <f t="shared" si="4"/>
        <v>4.095499440986098E-2</v>
      </c>
      <c r="N23" s="52">
        <f t="shared" si="5"/>
        <v>3839840</v>
      </c>
      <c r="O23" s="11">
        <v>16</v>
      </c>
      <c r="P23" s="12">
        <v>32798890</v>
      </c>
      <c r="Q23" s="12">
        <v>1024965.3125</v>
      </c>
      <c r="R23" s="12">
        <v>36962.65625</v>
      </c>
      <c r="S23" s="13">
        <v>14103280</v>
      </c>
      <c r="T23" s="13">
        <v>2856880</v>
      </c>
      <c r="U23" s="13">
        <v>982960</v>
      </c>
      <c r="V23" s="13">
        <v>10263440</v>
      </c>
      <c r="W23" s="14">
        <v>70.888133999999994</v>
      </c>
      <c r="X23" s="14">
        <v>73.610840999999994</v>
      </c>
      <c r="Y23" s="14">
        <v>35.678378000000002</v>
      </c>
      <c r="Z23" s="14">
        <v>42.882852999999997</v>
      </c>
      <c r="AA23" s="14">
        <v>41.708516000000003</v>
      </c>
      <c r="AB23" s="15">
        <v>4346.47</v>
      </c>
      <c r="AC23" s="15">
        <v>1394.42</v>
      </c>
      <c r="AD23" s="15">
        <v>81.272999999999996</v>
      </c>
      <c r="AE23" s="15">
        <v>17.853999999999999</v>
      </c>
      <c r="AG23" s="10">
        <f t="shared" si="6"/>
        <v>21.770312499999999</v>
      </c>
      <c r="AH23" s="11">
        <f t="shared" si="7"/>
        <v>5.5597922052702899E-2</v>
      </c>
      <c r="AI23" s="11">
        <f t="shared" si="8"/>
        <v>1.5074718351912389E-2</v>
      </c>
      <c r="AJ23" s="11">
        <f t="shared" si="9"/>
        <v>1.123527341909236E-2</v>
      </c>
      <c r="AK23" s="11">
        <f t="shared" si="10"/>
        <v>4.0522692932540828E-2</v>
      </c>
      <c r="AL23" s="52">
        <f t="shared" si="11"/>
        <v>3777768</v>
      </c>
      <c r="AM23" s="11">
        <v>16</v>
      </c>
      <c r="AN23" s="12">
        <v>30030556</v>
      </c>
      <c r="AO23" s="12">
        <v>938454.875</v>
      </c>
      <c r="AP23" s="12">
        <v>32114.59375</v>
      </c>
      <c r="AQ23" s="13">
        <v>13933000</v>
      </c>
      <c r="AR23" s="13">
        <v>2815592</v>
      </c>
      <c r="AS23" s="13">
        <v>962176</v>
      </c>
      <c r="AT23" s="13">
        <v>10155104</v>
      </c>
      <c r="AU23" s="14">
        <v>70.161094000000006</v>
      </c>
      <c r="AV23" s="14">
        <v>73.609433999999993</v>
      </c>
      <c r="AW23" s="14">
        <v>35.602487000000004</v>
      </c>
      <c r="AX23" s="14">
        <v>42.935794000000001</v>
      </c>
      <c r="AY23" s="14">
        <v>41.775606000000003</v>
      </c>
      <c r="AZ23" s="15">
        <v>4410.09</v>
      </c>
      <c r="BA23" s="15">
        <v>1271.03</v>
      </c>
      <c r="BB23" s="15">
        <v>74.278000000000006</v>
      </c>
      <c r="BC23" s="15">
        <v>17.422000000000001</v>
      </c>
      <c r="BE23" s="50">
        <f t="shared" si="12"/>
        <v>0.98383474311429653</v>
      </c>
      <c r="BF23" s="16">
        <f t="shared" si="13"/>
        <v>-1.8416367203480805E-3</v>
      </c>
      <c r="BG23" s="16">
        <f t="shared" si="14"/>
        <v>-1.1275812371915883E-3</v>
      </c>
      <c r="BH23" s="16"/>
      <c r="BJ23" s="50"/>
      <c r="BK23" s="50"/>
      <c r="BL23" s="50"/>
      <c r="BM23" s="50"/>
      <c r="BN23" s="50"/>
      <c r="BP23" s="50"/>
      <c r="BQ23" s="50"/>
      <c r="BR23" s="50"/>
      <c r="BS23" s="50"/>
      <c r="BT23" s="50"/>
      <c r="BV23" s="58">
        <f t="shared" si="16"/>
        <v>-2768334</v>
      </c>
      <c r="BW23" s="58">
        <f t="shared" si="16"/>
        <v>-86510.4375</v>
      </c>
      <c r="BX23" s="58">
        <f t="shared" si="16"/>
        <v>-4848.0625</v>
      </c>
      <c r="BY23" s="58">
        <f t="shared" si="16"/>
        <v>-170280</v>
      </c>
      <c r="BZ23" s="58">
        <f t="shared" si="16"/>
        <v>-41288</v>
      </c>
      <c r="CA23" s="58">
        <f t="shared" si="16"/>
        <v>-20784</v>
      </c>
      <c r="CB23" s="58">
        <f t="shared" si="16"/>
        <v>-108336</v>
      </c>
      <c r="CC23" s="58">
        <f t="shared" si="16"/>
        <v>-0.72703999999998814</v>
      </c>
      <c r="CD23" s="58">
        <f t="shared" si="16"/>
        <v>-1.4070000000003802E-3</v>
      </c>
      <c r="CE23" s="58">
        <f t="shared" si="16"/>
        <v>-7.5890999999998598E-2</v>
      </c>
      <c r="CF23" s="58">
        <f t="shared" si="16"/>
        <v>5.2941000000004124E-2</v>
      </c>
      <c r="CG23" s="58">
        <f t="shared" si="16"/>
        <v>6.7090000000000316E-2</v>
      </c>
      <c r="CJ23" t="s">
        <v>239</v>
      </c>
    </row>
    <row r="24" spans="1:88" ht="16" outlineLevel="1" thickBot="1">
      <c r="A24" s="36"/>
      <c r="B24" s="36" t="s">
        <v>70</v>
      </c>
      <c r="C24" s="37" t="s">
        <v>237</v>
      </c>
      <c r="D24" s="36">
        <v>250602891</v>
      </c>
      <c r="E24" s="37">
        <v>10</v>
      </c>
      <c r="F24" s="37">
        <v>32</v>
      </c>
      <c r="G24" s="37">
        <v>50</v>
      </c>
      <c r="I24" s="38">
        <f t="shared" si="0"/>
        <v>38.637037499999998</v>
      </c>
      <c r="J24" s="39">
        <f t="shared" si="1"/>
        <v>9.8672860082847175E-2</v>
      </c>
      <c r="K24" s="39">
        <f t="shared" si="2"/>
        <v>2.5344895163240556E-2</v>
      </c>
      <c r="L24" s="39">
        <f t="shared" si="3"/>
        <v>1.7906609066213844E-2</v>
      </c>
      <c r="M24" s="39">
        <f t="shared" si="4"/>
        <v>7.3327964919606609E-2</v>
      </c>
      <c r="N24" s="36">
        <f t="shared" si="5"/>
        <v>6351504</v>
      </c>
      <c r="O24" s="39">
        <v>16</v>
      </c>
      <c r="P24" s="40">
        <v>31426902</v>
      </c>
      <c r="Q24" s="40">
        <v>982090.6875</v>
      </c>
      <c r="R24" s="40">
        <v>18270.09375</v>
      </c>
      <c r="S24" s="41">
        <v>24727704</v>
      </c>
      <c r="T24" s="41">
        <v>4487448</v>
      </c>
      <c r="U24" s="41">
        <v>1864056</v>
      </c>
      <c r="V24" s="41">
        <v>18376200</v>
      </c>
      <c r="W24" s="42">
        <v>71.730802999999995</v>
      </c>
      <c r="X24" s="42">
        <v>75.625753000000003</v>
      </c>
      <c r="Y24" s="42">
        <v>36.930331000000002</v>
      </c>
      <c r="Z24" s="42">
        <v>43.832703000000002</v>
      </c>
      <c r="AA24" s="42">
        <v>42.397630999999997</v>
      </c>
      <c r="AB24" s="43">
        <v>4810.5600000000004</v>
      </c>
      <c r="AC24" s="43">
        <v>1622.41</v>
      </c>
      <c r="AD24" s="43">
        <v>81.781000000000006</v>
      </c>
      <c r="AE24" s="43">
        <v>20.806999999999999</v>
      </c>
      <c r="AG24" s="38">
        <f t="shared" si="6"/>
        <v>38.156737499999998</v>
      </c>
      <c r="AH24" s="39">
        <f t="shared" si="7"/>
        <v>9.7446250131248482E-2</v>
      </c>
      <c r="AI24" s="39">
        <f t="shared" si="8"/>
        <v>2.5158528598139756E-2</v>
      </c>
      <c r="AJ24" s="39">
        <f t="shared" si="9"/>
        <v>1.7685733721244261E-2</v>
      </c>
      <c r="AK24" s="39">
        <f t="shared" si="10"/>
        <v>7.2287210764859056E-2</v>
      </c>
      <c r="AL24" s="36">
        <f t="shared" si="11"/>
        <v>6304800</v>
      </c>
      <c r="AM24" s="39">
        <v>16</v>
      </c>
      <c r="AN24" s="40">
        <v>28730816</v>
      </c>
      <c r="AO24" s="40">
        <v>897838</v>
      </c>
      <c r="AP24" s="40">
        <v>15599.6875</v>
      </c>
      <c r="AQ24" s="41">
        <v>24420312</v>
      </c>
      <c r="AR24" s="41">
        <v>4432096</v>
      </c>
      <c r="AS24" s="41">
        <v>1872704</v>
      </c>
      <c r="AT24" s="41">
        <v>18115384</v>
      </c>
      <c r="AU24" s="42">
        <v>70.549722000000003</v>
      </c>
      <c r="AV24" s="42">
        <v>74.543272000000002</v>
      </c>
      <c r="AW24" s="42">
        <v>36.722059000000002</v>
      </c>
      <c r="AX24" s="42">
        <v>43.865344</v>
      </c>
      <c r="AY24" s="42">
        <v>42.448068999999997</v>
      </c>
      <c r="AZ24" s="43">
        <v>4765.1400000000003</v>
      </c>
      <c r="BA24" s="43">
        <v>1644.27</v>
      </c>
      <c r="BB24" s="43">
        <v>80.561000000000007</v>
      </c>
      <c r="BC24" s="43">
        <v>23.353000000000002</v>
      </c>
      <c r="BE24" s="44">
        <f t="shared" si="12"/>
        <v>0.99264678098289794</v>
      </c>
      <c r="BF24" s="45">
        <f t="shared" si="13"/>
        <v>-1.2285413850120913E-3</v>
      </c>
      <c r="BG24" s="45">
        <f t="shared" si="14"/>
        <v>1.3207053713004679E-3</v>
      </c>
      <c r="BH24" s="45"/>
      <c r="BJ24" s="44"/>
      <c r="BK24" s="44"/>
      <c r="BL24" s="44"/>
      <c r="BM24" s="44"/>
      <c r="BN24" s="44"/>
      <c r="BP24" s="44"/>
      <c r="BQ24" s="44"/>
      <c r="BR24" s="44"/>
      <c r="BS24" s="44"/>
      <c r="BT24" s="44"/>
      <c r="BV24" s="58">
        <f t="shared" si="16"/>
        <v>-2696086</v>
      </c>
      <c r="BW24" s="58">
        <f t="shared" si="16"/>
        <v>-84252.6875</v>
      </c>
      <c r="BX24" s="58">
        <f t="shared" si="16"/>
        <v>-2670.40625</v>
      </c>
      <c r="BY24" s="58">
        <f t="shared" si="16"/>
        <v>-307392</v>
      </c>
      <c r="BZ24" s="58">
        <f t="shared" si="16"/>
        <v>-55352</v>
      </c>
      <c r="CA24" s="58">
        <f t="shared" si="16"/>
        <v>8648</v>
      </c>
      <c r="CB24" s="58">
        <f t="shared" si="16"/>
        <v>-260816</v>
      </c>
      <c r="CC24" s="58">
        <f t="shared" si="16"/>
        <v>-1.1810809999999918</v>
      </c>
      <c r="CD24" s="58">
        <f t="shared" si="16"/>
        <v>-1.0824810000000014</v>
      </c>
      <c r="CE24" s="58">
        <f t="shared" si="16"/>
        <v>-0.2082720000000009</v>
      </c>
      <c r="CF24" s="58">
        <f t="shared" si="16"/>
        <v>3.2640999999998144E-2</v>
      </c>
      <c r="CG24" s="58">
        <f t="shared" si="16"/>
        <v>5.0437999999999761E-2</v>
      </c>
      <c r="CJ24" t="s">
        <v>239</v>
      </c>
    </row>
    <row r="25" spans="1:88">
      <c r="A25" s="52" t="s">
        <v>240</v>
      </c>
      <c r="B25" s="52" t="s">
        <v>73</v>
      </c>
      <c r="C25" s="9" t="s">
        <v>232</v>
      </c>
      <c r="D25" s="52">
        <v>250294582</v>
      </c>
      <c r="E25" s="9">
        <v>10</v>
      </c>
      <c r="F25" s="9">
        <v>32</v>
      </c>
      <c r="G25" s="9">
        <v>30</v>
      </c>
      <c r="I25" s="10">
        <f t="shared" si="0"/>
        <v>4.3893674999999996</v>
      </c>
      <c r="J25" s="11">
        <f t="shared" si="1"/>
        <v>1.8705926283294459E-2</v>
      </c>
      <c r="K25" s="11">
        <f t="shared" si="2"/>
        <v>6.5750684127872973E-3</v>
      </c>
      <c r="L25" s="11">
        <f t="shared" si="3"/>
        <v>3.7261054256460093E-3</v>
      </c>
      <c r="M25" s="11">
        <f t="shared" si="4"/>
        <v>1.2130857870507161E-2</v>
      </c>
      <c r="N25" s="52">
        <f t="shared" si="5"/>
        <v>1645704</v>
      </c>
      <c r="O25" s="11">
        <v>16</v>
      </c>
      <c r="P25" s="12">
        <v>23156910</v>
      </c>
      <c r="Q25" s="12">
        <v>723653.4375</v>
      </c>
      <c r="R25" s="12">
        <v>14060.625</v>
      </c>
      <c r="S25" s="13">
        <v>4681992</v>
      </c>
      <c r="T25" s="13">
        <v>932624</v>
      </c>
      <c r="U25" s="13">
        <v>713080</v>
      </c>
      <c r="V25" s="13">
        <v>3036288</v>
      </c>
      <c r="W25" s="14">
        <v>66.208680999999999</v>
      </c>
      <c r="X25" s="14">
        <v>67.982928000000001</v>
      </c>
      <c r="Y25" s="14">
        <v>27.335812000000001</v>
      </c>
      <c r="Z25" s="14">
        <v>33.167050000000003</v>
      </c>
      <c r="AA25" s="14">
        <v>32.594690999999997</v>
      </c>
      <c r="AB25" s="15">
        <v>1557.95</v>
      </c>
      <c r="AC25" s="15">
        <v>1095.81</v>
      </c>
      <c r="AD25" s="15">
        <v>61.21</v>
      </c>
      <c r="AE25" s="15">
        <v>16.762</v>
      </c>
      <c r="AG25" s="10">
        <f t="shared" si="6"/>
        <v>4.3684124999999998</v>
      </c>
      <c r="AH25" s="11">
        <f t="shared" si="7"/>
        <v>1.8616623511251235E-2</v>
      </c>
      <c r="AI25" s="11">
        <f t="shared" si="8"/>
        <v>6.4788617757614905E-3</v>
      </c>
      <c r="AJ25" s="11">
        <f t="shared" si="9"/>
        <v>3.7288222243660072E-3</v>
      </c>
      <c r="AK25" s="11">
        <f t="shared" si="10"/>
        <v>1.2137250338083626E-2</v>
      </c>
      <c r="AL25" s="52">
        <f t="shared" si="11"/>
        <v>1621624</v>
      </c>
      <c r="AM25" s="11">
        <v>16</v>
      </c>
      <c r="AN25" s="12">
        <v>23138864</v>
      </c>
      <c r="AO25" s="12">
        <v>723089.5</v>
      </c>
      <c r="AP25" s="12">
        <v>14043.03125</v>
      </c>
      <c r="AQ25" s="13">
        <v>4659640</v>
      </c>
      <c r="AR25" s="13">
        <v>933304</v>
      </c>
      <c r="AS25" s="13">
        <v>688320</v>
      </c>
      <c r="AT25" s="13">
        <v>3037888</v>
      </c>
      <c r="AU25" s="14">
        <v>66.207505999999995</v>
      </c>
      <c r="AV25" s="14">
        <v>67.988172000000006</v>
      </c>
      <c r="AW25" s="14">
        <v>27.335087999999999</v>
      </c>
      <c r="AX25" s="14">
        <v>33.162205999999998</v>
      </c>
      <c r="AY25" s="14">
        <v>32.595793999999998</v>
      </c>
      <c r="AZ25" s="15">
        <v>1881.87</v>
      </c>
      <c r="BA25" s="15">
        <v>1370.09</v>
      </c>
      <c r="BB25" s="15">
        <v>68.628</v>
      </c>
      <c r="BC25" s="15">
        <v>20.745000000000001</v>
      </c>
      <c r="BE25" s="50">
        <f t="shared" si="12"/>
        <v>0.98536796410533123</v>
      </c>
      <c r="BF25" s="16">
        <f t="shared" si="13"/>
        <v>-9.1778600146801004E-6</v>
      </c>
      <c r="BG25" s="16">
        <f t="shared" si="14"/>
        <v>-3.4816743958976382E-3</v>
      </c>
      <c r="BH25" s="16">
        <f t="array" ref="BH25">AVERAGE(AL25:AL29/AQ25:AQ29) - AVERAGE(N25:N29/S25:S29)</f>
        <v>-1.7117470369676369E-3</v>
      </c>
      <c r="BJ25" s="50">
        <f>IF( OR(ISBLANK(N25:N29),ISBLANK(AL25:AL29), ISBLANK(W25:W29),ISBLANK(AU25:AU29)), "·", bdRateExtend( N25:N29,W25:W29, AL25:AL29,AU25:AU29))</f>
        <v>-1.0565718238762067E-2</v>
      </c>
      <c r="BK25" s="50">
        <f>IF( OR(ISBLANK(N25:N29),ISBLANK(AL25:AL29), ISBLANK(X25:X29),ISBLANK(AV25:AV29)), "·", bdRateExtend( N25:N29,X25:X29, AL25:AL29,AV25:AV29))</f>
        <v>-9.7505269503266323E-3</v>
      </c>
      <c r="BL25" s="50">
        <f>IF( OR(ISBLANK(V25:V29),ISBLANK(AT25:AT29), ISBLANK(Y25:Y29),ISBLANK(AW25:AW29)), "·", bdRateExtend( V25:V29,Y25:Y29, AT25:AT29,AW25:AW29))</f>
        <v>4.151407593533385E-5</v>
      </c>
      <c r="BM25" s="50">
        <f>IF( OR(ISBLANK(V25:V29),ISBLANK(AT25:AT29), ISBLANK(Z25:Z29),ISBLANK(AX25:AX29)), "·", bdRateExtend( V25:V29,Z25:Z29, AT25:AT29,AX25:AX29))</f>
        <v>9.196909945139442E-4</v>
      </c>
      <c r="BN25" s="50">
        <f>IF( OR(ISBLANK(V25:V29),ISBLANK(AT25:AT29), ISBLANK(AA25:AA29),ISBLANK(AY25:AY29)), "·", bdRateExtend( V25:V29,AA25:AA29, AT25:AT29,AY25:AY29))</f>
        <v>7.7576210766561182E-4</v>
      </c>
      <c r="BP25" s="50">
        <f>IF( OR(ISBLANK(S25:S29),ISBLANK(AQ25:AQ29), ISBLANK(W25:W29),ISBLANK(AU25:AU29)), "·", bdRateExtend( S25:S29,W25:W29, AQ25:AQ29,AU25:AU29))</f>
        <v>-2.708600684439233E-3</v>
      </c>
      <c r="BQ25" s="50">
        <f>IF( OR(ISBLANK(S25:S29),ISBLANK(AQ25:AQ29), ISBLANK(X25:X29),ISBLANK(AV25:AV29)), "·", bdRateExtend( S25:S29,X25:X29, AQ25:AQ29,AV25:AV29))</f>
        <v>-2.3673731580140522E-3</v>
      </c>
      <c r="BR25" s="50">
        <f>IF( OR(ISBLANK(S25:S29),ISBLANK(AQ25:AQ29), ISBLANK(Y25:Y29),ISBLANK(AW25:AW29)), "·", bdRateExtend( S25:S29,Y25:Y29, AQ25:AQ29,AW25:AW29))</f>
        <v>-2.041798923647975E-3</v>
      </c>
      <c r="BS25" s="50">
        <f>IF( OR(ISBLANK(S25:S29),ISBLANK(AQ25:AQ29), ISBLANK(Z25:Z29),ISBLANK(AX25:AX29)), "·", bdRateExtend( S25:S29,Z25:Z29, AQ25:AQ29,AX25:AX29))</f>
        <v>-1.0129150865314518E-3</v>
      </c>
      <c r="BT25" s="50">
        <f>IF( OR(ISBLANK(S25:S29),ISBLANK(AQ25:AQ29), ISBLANK(AA25:AA29),ISBLANK(AY25:AY29)), "·", bdRateExtend( S25:S29,AA25:AA29, AQ25:AQ29,AY25:AY29))</f>
        <v>-1.2377549279708466E-3</v>
      </c>
      <c r="BV25" s="58">
        <f t="shared" si="16"/>
        <v>-18046</v>
      </c>
      <c r="BW25" s="58">
        <f t="shared" si="16"/>
        <v>-563.9375</v>
      </c>
      <c r="BX25" s="58">
        <f t="shared" si="16"/>
        <v>-17.59375</v>
      </c>
      <c r="BY25" s="58">
        <f t="shared" si="16"/>
        <v>-22352</v>
      </c>
      <c r="BZ25" s="58">
        <f t="shared" si="16"/>
        <v>680</v>
      </c>
      <c r="CA25" s="58">
        <f t="shared" si="16"/>
        <v>-24760</v>
      </c>
      <c r="CB25" s="58">
        <f t="shared" si="16"/>
        <v>1600</v>
      </c>
      <c r="CC25" s="58">
        <f t="shared" si="16"/>
        <v>-1.1750000000034788E-3</v>
      </c>
      <c r="CD25" s="58">
        <f t="shared" si="16"/>
        <v>5.2440000000046894E-3</v>
      </c>
      <c r="CE25" s="58">
        <f t="shared" si="16"/>
        <v>-7.2400000000172327E-4</v>
      </c>
      <c r="CF25" s="58">
        <f t="shared" si="16"/>
        <v>-4.8440000000056216E-3</v>
      </c>
      <c r="CG25" s="58">
        <f t="shared" si="16"/>
        <v>1.1030000000005202E-3</v>
      </c>
      <c r="CJ25" t="s">
        <v>241</v>
      </c>
    </row>
    <row r="26" spans="1:88" outlineLevel="1">
      <c r="A26" s="17"/>
      <c r="B26" s="17" t="s">
        <v>73</v>
      </c>
      <c r="C26" s="18" t="s">
        <v>234</v>
      </c>
      <c r="D26" s="17">
        <v>250294582</v>
      </c>
      <c r="E26" s="18">
        <v>10</v>
      </c>
      <c r="F26" s="18">
        <v>32</v>
      </c>
      <c r="G26" s="18">
        <v>30</v>
      </c>
      <c r="I26" s="19">
        <f t="shared" si="0"/>
        <v>7.5169949999999996</v>
      </c>
      <c r="J26" s="20">
        <f t="shared" si="1"/>
        <v>3.2034764539969146E-2</v>
      </c>
      <c r="K26" s="20">
        <f t="shared" si="2"/>
        <v>8.1015577077093899E-3</v>
      </c>
      <c r="L26" s="20">
        <f t="shared" si="3"/>
        <v>5.2525947205681028E-3</v>
      </c>
      <c r="M26" s="20">
        <f t="shared" si="4"/>
        <v>2.3933206832259756E-2</v>
      </c>
      <c r="N26" s="17">
        <f t="shared" si="5"/>
        <v>2027776</v>
      </c>
      <c r="O26" s="20">
        <v>16</v>
      </c>
      <c r="P26" s="21">
        <v>24564301</v>
      </c>
      <c r="Q26" s="21">
        <v>767634.40625</v>
      </c>
      <c r="R26" s="21">
        <v>17714.59375</v>
      </c>
      <c r="S26" s="22">
        <v>8018128</v>
      </c>
      <c r="T26" s="22">
        <v>1314696</v>
      </c>
      <c r="U26" s="22">
        <v>713080</v>
      </c>
      <c r="V26" s="22">
        <v>5990352</v>
      </c>
      <c r="W26" s="23">
        <v>67.941556000000006</v>
      </c>
      <c r="X26" s="23">
        <v>69.941896999999997</v>
      </c>
      <c r="Y26" s="23">
        <v>29.713653000000001</v>
      </c>
      <c r="Z26" s="23">
        <v>34.339922000000001</v>
      </c>
      <c r="AA26" s="23">
        <v>33.891993999999997</v>
      </c>
      <c r="AB26" s="24">
        <v>1821.78</v>
      </c>
      <c r="AC26" s="24">
        <v>1477.01</v>
      </c>
      <c r="AD26" s="24">
        <v>67.536000000000001</v>
      </c>
      <c r="AE26" s="24">
        <v>22.475999999999999</v>
      </c>
      <c r="AG26" s="19">
        <f t="shared" si="6"/>
        <v>7.4950875000000003</v>
      </c>
      <c r="AH26" s="20">
        <f t="shared" si="7"/>
        <v>3.1941402551014866E-2</v>
      </c>
      <c r="AI26" s="20">
        <f t="shared" si="8"/>
        <v>8.0012918537725273E-3</v>
      </c>
      <c r="AJ26" s="20">
        <f t="shared" si="9"/>
        <v>5.2512523023770449E-3</v>
      </c>
      <c r="AK26" s="20">
        <f t="shared" si="10"/>
        <v>2.3939599299836224E-2</v>
      </c>
      <c r="AL26" s="17">
        <f t="shared" si="11"/>
        <v>2002680</v>
      </c>
      <c r="AM26" s="20">
        <v>16</v>
      </c>
      <c r="AN26" s="21">
        <v>24580782</v>
      </c>
      <c r="AO26" s="21">
        <v>768149.4375</v>
      </c>
      <c r="AP26" s="21">
        <v>17704.4375</v>
      </c>
      <c r="AQ26" s="22">
        <v>7994760</v>
      </c>
      <c r="AR26" s="22">
        <v>1314360</v>
      </c>
      <c r="AS26" s="22">
        <v>688320</v>
      </c>
      <c r="AT26" s="22">
        <v>5991952</v>
      </c>
      <c r="AU26" s="23">
        <v>67.944759000000005</v>
      </c>
      <c r="AV26" s="23">
        <v>69.940769000000003</v>
      </c>
      <c r="AW26" s="23">
        <v>29.715299999999999</v>
      </c>
      <c r="AX26" s="23">
        <v>34.340240999999999</v>
      </c>
      <c r="AY26" s="23">
        <v>33.890512000000001</v>
      </c>
      <c r="AZ26" s="24">
        <v>1392.61</v>
      </c>
      <c r="BA26" s="24">
        <v>1020.7</v>
      </c>
      <c r="BB26" s="24">
        <v>59.671999999999997</v>
      </c>
      <c r="BC26" s="24">
        <v>15.121</v>
      </c>
      <c r="BE26" s="49">
        <f t="shared" si="12"/>
        <v>0.98762387956066144</v>
      </c>
      <c r="BF26" s="25">
        <f t="shared" si="13"/>
        <v>-2.8694358590923563E-5</v>
      </c>
      <c r="BG26" s="25">
        <f t="shared" si="14"/>
        <v>-2.3998541269369955E-3</v>
      </c>
      <c r="BH26" s="25"/>
      <c r="BJ26" s="49"/>
      <c r="BK26" s="49"/>
      <c r="BL26" s="49"/>
      <c r="BM26" s="49"/>
      <c r="BN26" s="49"/>
      <c r="BP26" s="49"/>
      <c r="BQ26" s="49"/>
      <c r="BR26" s="49"/>
      <c r="BS26" s="49"/>
      <c r="BT26" s="49"/>
      <c r="BV26" s="58">
        <f t="shared" si="16"/>
        <v>16481</v>
      </c>
      <c r="BW26" s="58">
        <f t="shared" si="16"/>
        <v>515.03125</v>
      </c>
      <c r="BX26" s="58">
        <f t="shared" si="16"/>
        <v>-10.15625</v>
      </c>
      <c r="BY26" s="58">
        <f t="shared" si="16"/>
        <v>-23368</v>
      </c>
      <c r="BZ26" s="58">
        <f t="shared" si="16"/>
        <v>-336</v>
      </c>
      <c r="CA26" s="58">
        <f t="shared" si="16"/>
        <v>-24760</v>
      </c>
      <c r="CB26" s="58">
        <f t="shared" si="16"/>
        <v>1600</v>
      </c>
      <c r="CC26" s="58">
        <f t="shared" si="16"/>
        <v>3.2029999999991787E-3</v>
      </c>
      <c r="CD26" s="58">
        <f t="shared" si="16"/>
        <v>-1.1279999999942447E-3</v>
      </c>
      <c r="CE26" s="58">
        <f t="shared" si="16"/>
        <v>1.6469999999983997E-3</v>
      </c>
      <c r="CF26" s="58">
        <f t="shared" si="16"/>
        <v>3.1899999999751572E-4</v>
      </c>
      <c r="CG26" s="58">
        <f t="shared" si="16"/>
        <v>-1.4819999999957645E-3</v>
      </c>
      <c r="CJ26" t="s">
        <v>241</v>
      </c>
    </row>
    <row r="27" spans="1:88" outlineLevel="1">
      <c r="A27" s="52"/>
      <c r="B27" s="52" t="s">
        <v>73</v>
      </c>
      <c r="C27" s="9" t="s">
        <v>235</v>
      </c>
      <c r="D27" s="52">
        <v>250294582</v>
      </c>
      <c r="E27" s="9">
        <v>10</v>
      </c>
      <c r="F27" s="9">
        <v>32</v>
      </c>
      <c r="G27" s="9">
        <v>30</v>
      </c>
      <c r="I27" s="10">
        <f t="shared" si="0"/>
        <v>13.216447499999999</v>
      </c>
      <c r="J27" s="11">
        <f t="shared" si="1"/>
        <v>5.6323808079872861E-2</v>
      </c>
      <c r="K27" s="11">
        <f t="shared" si="2"/>
        <v>1.0397987759878878E-2</v>
      </c>
      <c r="L27" s="11">
        <f t="shared" si="3"/>
        <v>7.5490247727375897E-3</v>
      </c>
      <c r="M27" s="11">
        <f t="shared" si="4"/>
        <v>4.5925820319993982E-2</v>
      </c>
      <c r="N27" s="52">
        <f t="shared" si="5"/>
        <v>2602560</v>
      </c>
      <c r="O27" s="11">
        <v>16</v>
      </c>
      <c r="P27" s="12">
        <v>24852477</v>
      </c>
      <c r="Q27" s="12">
        <v>776639.90625</v>
      </c>
      <c r="R27" s="12">
        <v>18688.75</v>
      </c>
      <c r="S27" s="13">
        <v>14097544</v>
      </c>
      <c r="T27" s="13">
        <v>1889480</v>
      </c>
      <c r="U27" s="13">
        <v>713080</v>
      </c>
      <c r="V27" s="13">
        <v>11494984</v>
      </c>
      <c r="W27" s="14">
        <v>69.263744000000003</v>
      </c>
      <c r="X27" s="14">
        <v>71.649234000000007</v>
      </c>
      <c r="Y27" s="14">
        <v>32.212888</v>
      </c>
      <c r="Z27" s="14">
        <v>35.580181000000003</v>
      </c>
      <c r="AA27" s="14">
        <v>35.204984000000003</v>
      </c>
      <c r="AB27" s="15">
        <v>1604.67</v>
      </c>
      <c r="AC27" s="15">
        <v>1271.32</v>
      </c>
      <c r="AD27" s="15">
        <v>70.06</v>
      </c>
      <c r="AE27" s="15">
        <v>18.914000000000001</v>
      </c>
      <c r="AG27" s="10">
        <f t="shared" si="6"/>
        <v>13.192845</v>
      </c>
      <c r="AH27" s="11">
        <f t="shared" si="7"/>
        <v>5.6223222602557174E-2</v>
      </c>
      <c r="AI27" s="11">
        <f t="shared" si="8"/>
        <v>1.030095010206813E-2</v>
      </c>
      <c r="AJ27" s="11">
        <f t="shared" si="9"/>
        <v>7.5509105506726473E-3</v>
      </c>
      <c r="AK27" s="11">
        <f t="shared" si="10"/>
        <v>4.592176110308293E-2</v>
      </c>
      <c r="AL27" s="52">
        <f t="shared" si="11"/>
        <v>2578272</v>
      </c>
      <c r="AM27" s="11">
        <v>16</v>
      </c>
      <c r="AN27" s="12">
        <v>24854017</v>
      </c>
      <c r="AO27" s="12">
        <v>776688.03125</v>
      </c>
      <c r="AP27" s="12">
        <v>18708.90625</v>
      </c>
      <c r="AQ27" s="13">
        <v>14072368</v>
      </c>
      <c r="AR27" s="13">
        <v>1889952</v>
      </c>
      <c r="AS27" s="13">
        <v>688320</v>
      </c>
      <c r="AT27" s="13">
        <v>11493968</v>
      </c>
      <c r="AU27" s="14">
        <v>69.264527999999999</v>
      </c>
      <c r="AV27" s="14">
        <v>71.652253000000002</v>
      </c>
      <c r="AW27" s="14">
        <v>32.214131000000002</v>
      </c>
      <c r="AX27" s="14">
        <v>35.578884000000002</v>
      </c>
      <c r="AY27" s="14">
        <v>35.201734000000002</v>
      </c>
      <c r="AZ27" s="15">
        <v>1436.2</v>
      </c>
      <c r="BA27" s="15">
        <v>1133.83</v>
      </c>
      <c r="BB27" s="15">
        <v>61.189</v>
      </c>
      <c r="BC27" s="15">
        <v>15.859</v>
      </c>
      <c r="BE27" s="50">
        <f t="shared" si="12"/>
        <v>0.99066765031353732</v>
      </c>
      <c r="BF27" s="16">
        <f t="shared" si="13"/>
        <v>2.4460515177932018E-5</v>
      </c>
      <c r="BG27" s="16">
        <f t="shared" si="14"/>
        <v>-1.3956596709018276E-3</v>
      </c>
      <c r="BH27" s="16"/>
      <c r="BJ27" s="50"/>
      <c r="BK27" s="50"/>
      <c r="BL27" s="50"/>
      <c r="BM27" s="50"/>
      <c r="BN27" s="50"/>
      <c r="BP27" s="50"/>
      <c r="BQ27" s="50"/>
      <c r="BR27" s="50"/>
      <c r="BS27" s="50"/>
      <c r="BT27" s="50"/>
      <c r="BV27" s="58">
        <f t="shared" si="16"/>
        <v>1540</v>
      </c>
      <c r="BW27" s="58">
        <f t="shared" si="16"/>
        <v>48.125</v>
      </c>
      <c r="BX27" s="58">
        <f t="shared" si="16"/>
        <v>20.15625</v>
      </c>
      <c r="BY27" s="58">
        <f t="shared" si="16"/>
        <v>-25176</v>
      </c>
      <c r="BZ27" s="58">
        <f t="shared" si="16"/>
        <v>472</v>
      </c>
      <c r="CA27" s="58">
        <f t="shared" si="16"/>
        <v>-24760</v>
      </c>
      <c r="CB27" s="58">
        <f t="shared" si="16"/>
        <v>-1016</v>
      </c>
      <c r="CC27" s="58">
        <f t="shared" si="16"/>
        <v>7.8399999999589909E-4</v>
      </c>
      <c r="CD27" s="58">
        <f t="shared" si="16"/>
        <v>3.0189999999947759E-3</v>
      </c>
      <c r="CE27" s="58">
        <f t="shared" si="16"/>
        <v>1.2430000000023256E-3</v>
      </c>
      <c r="CF27" s="58">
        <f t="shared" si="16"/>
        <v>-1.2970000000009918E-3</v>
      </c>
      <c r="CG27" s="58">
        <f t="shared" si="16"/>
        <v>-3.2500000000013074E-3</v>
      </c>
      <c r="CJ27" t="s">
        <v>241</v>
      </c>
    </row>
    <row r="28" spans="1:88" outlineLevel="1">
      <c r="A28" s="17"/>
      <c r="B28" s="17" t="s">
        <v>73</v>
      </c>
      <c r="C28" s="18" t="s">
        <v>236</v>
      </c>
      <c r="D28" s="17">
        <v>250294582</v>
      </c>
      <c r="E28" s="18">
        <v>10</v>
      </c>
      <c r="F28" s="18">
        <v>32</v>
      </c>
      <c r="G28" s="18">
        <v>30</v>
      </c>
      <c r="I28" s="19">
        <f t="shared" si="0"/>
        <v>24.485197500000002</v>
      </c>
      <c r="J28" s="20">
        <f t="shared" si="1"/>
        <v>0.10434722074807037</v>
      </c>
      <c r="K28" s="20">
        <f t="shared" si="2"/>
        <v>1.4255106808504548E-2</v>
      </c>
      <c r="L28" s="20">
        <f t="shared" si="3"/>
        <v>1.1406143821363261E-2</v>
      </c>
      <c r="M28" s="20">
        <f t="shared" si="4"/>
        <v>9.0092113939565815E-2</v>
      </c>
      <c r="N28" s="17">
        <f t="shared" si="5"/>
        <v>3567976</v>
      </c>
      <c r="O28" s="20">
        <v>16</v>
      </c>
      <c r="P28" s="21">
        <v>25521142</v>
      </c>
      <c r="Q28" s="21">
        <v>797535.6875</v>
      </c>
      <c r="R28" s="21">
        <v>20922.53125</v>
      </c>
      <c r="S28" s="22">
        <v>26117544</v>
      </c>
      <c r="T28" s="22">
        <v>2854896</v>
      </c>
      <c r="U28" s="22">
        <v>713080</v>
      </c>
      <c r="V28" s="22">
        <v>22549568</v>
      </c>
      <c r="W28" s="23">
        <v>70.432472000000004</v>
      </c>
      <c r="X28" s="23">
        <v>72.970200000000006</v>
      </c>
      <c r="Y28" s="23">
        <v>34.910972000000001</v>
      </c>
      <c r="Z28" s="23">
        <v>37.373078</v>
      </c>
      <c r="AA28" s="23">
        <v>36.936613000000001</v>
      </c>
      <c r="AB28" s="24">
        <v>1539.49</v>
      </c>
      <c r="AC28" s="24">
        <v>1361.73</v>
      </c>
      <c r="AD28" s="24">
        <v>65.055000000000007</v>
      </c>
      <c r="AE28" s="24">
        <v>18.885000000000002</v>
      </c>
      <c r="AG28" s="19">
        <f t="shared" si="6"/>
        <v>24.45627</v>
      </c>
      <c r="AH28" s="20">
        <f t="shared" si="7"/>
        <v>0.10422394201085823</v>
      </c>
      <c r="AI28" s="20">
        <f t="shared" si="8"/>
        <v>1.415378619741757E-2</v>
      </c>
      <c r="AJ28" s="20">
        <f t="shared" si="9"/>
        <v>1.1403746646022086E-2</v>
      </c>
      <c r="AK28" s="20">
        <f t="shared" si="10"/>
        <v>9.0069644416034544E-2</v>
      </c>
      <c r="AL28" s="17">
        <f t="shared" si="11"/>
        <v>3542616</v>
      </c>
      <c r="AM28" s="20">
        <v>16</v>
      </c>
      <c r="AN28" s="21">
        <v>25513364</v>
      </c>
      <c r="AO28" s="21">
        <v>797292.625</v>
      </c>
      <c r="AP28" s="21">
        <v>20939.03125</v>
      </c>
      <c r="AQ28" s="22">
        <v>26086688</v>
      </c>
      <c r="AR28" s="22">
        <v>2854296</v>
      </c>
      <c r="AS28" s="22">
        <v>688320</v>
      </c>
      <c r="AT28" s="22">
        <v>22543944</v>
      </c>
      <c r="AU28" s="23">
        <v>70.431269</v>
      </c>
      <c r="AV28" s="23">
        <v>72.970453000000006</v>
      </c>
      <c r="AW28" s="23">
        <v>34.908566</v>
      </c>
      <c r="AX28" s="23">
        <v>37.368206000000001</v>
      </c>
      <c r="AY28" s="23">
        <v>36.934516000000002</v>
      </c>
      <c r="AZ28" s="24">
        <v>1798.93</v>
      </c>
      <c r="BA28" s="24">
        <v>1756.63</v>
      </c>
      <c r="BB28" s="24">
        <v>74.182000000000002</v>
      </c>
      <c r="BC28" s="24">
        <v>25.161999999999999</v>
      </c>
      <c r="BE28" s="49">
        <f t="shared" si="12"/>
        <v>0.99289232887216738</v>
      </c>
      <c r="BF28" s="25">
        <f t="shared" si="13"/>
        <v>2.8692721868603388E-5</v>
      </c>
      <c r="BG28" s="25">
        <f t="shared" si="14"/>
        <v>-8.1055490624235005E-4</v>
      </c>
      <c r="BH28" s="25"/>
      <c r="BJ28" s="49"/>
      <c r="BK28" s="49"/>
      <c r="BL28" s="49"/>
      <c r="BM28" s="49"/>
      <c r="BN28" s="49"/>
      <c r="BP28" s="49"/>
      <c r="BQ28" s="49"/>
      <c r="BR28" s="49"/>
      <c r="BS28" s="49"/>
      <c r="BT28" s="49"/>
      <c r="BV28" s="58">
        <f t="shared" si="16"/>
        <v>-7778</v>
      </c>
      <c r="BW28" s="58">
        <f t="shared" si="16"/>
        <v>-243.0625</v>
      </c>
      <c r="BX28" s="58">
        <f t="shared" si="16"/>
        <v>16.5</v>
      </c>
      <c r="BY28" s="58">
        <f t="shared" si="16"/>
        <v>-30856</v>
      </c>
      <c r="BZ28" s="58">
        <f t="shared" si="16"/>
        <v>-600</v>
      </c>
      <c r="CA28" s="58">
        <f t="shared" si="16"/>
        <v>-24760</v>
      </c>
      <c r="CB28" s="58">
        <f t="shared" si="16"/>
        <v>-5624</v>
      </c>
      <c r="CC28" s="58">
        <f t="shared" si="16"/>
        <v>-1.2030000000038399E-3</v>
      </c>
      <c r="CD28" s="58">
        <f t="shared" si="16"/>
        <v>2.5300000000072487E-4</v>
      </c>
      <c r="CE28" s="58">
        <f t="shared" si="16"/>
        <v>-2.4060000000005743E-3</v>
      </c>
      <c r="CF28" s="58">
        <f t="shared" si="16"/>
        <v>-4.8719999999988772E-3</v>
      </c>
      <c r="CG28" s="58">
        <f t="shared" si="16"/>
        <v>-2.0969999999991273E-3</v>
      </c>
      <c r="CJ28" t="s">
        <v>241</v>
      </c>
    </row>
    <row r="29" spans="1:88" ht="16" outlineLevel="1" thickBot="1">
      <c r="A29" s="26"/>
      <c r="B29" s="26" t="s">
        <v>73</v>
      </c>
      <c r="C29" s="27" t="s">
        <v>237</v>
      </c>
      <c r="D29" s="26">
        <v>250294582</v>
      </c>
      <c r="E29" s="27">
        <v>10</v>
      </c>
      <c r="F29" s="27">
        <v>32</v>
      </c>
      <c r="G29" s="27">
        <v>30</v>
      </c>
      <c r="I29" s="28">
        <f t="shared" si="0"/>
        <v>44.199554999999997</v>
      </c>
      <c r="J29" s="29">
        <f t="shared" si="1"/>
        <v>0.18836281482113743</v>
      </c>
      <c r="K29" s="29">
        <f t="shared" si="2"/>
        <v>2.2993258399816262E-2</v>
      </c>
      <c r="L29" s="29">
        <f t="shared" si="3"/>
        <v>1.7641772205840237E-2</v>
      </c>
      <c r="M29" s="29">
        <f t="shared" si="4"/>
        <v>0.16536955642132117</v>
      </c>
      <c r="N29" s="26">
        <f t="shared" si="5"/>
        <v>5755088</v>
      </c>
      <c r="O29" s="29">
        <v>16</v>
      </c>
      <c r="P29" s="30">
        <v>24571358</v>
      </c>
      <c r="Q29" s="30">
        <v>767854.9375</v>
      </c>
      <c r="R29" s="30">
        <v>9744.125</v>
      </c>
      <c r="S29" s="31">
        <v>47146192</v>
      </c>
      <c r="T29" s="31">
        <v>4415640</v>
      </c>
      <c r="U29" s="31">
        <v>1339448</v>
      </c>
      <c r="V29" s="31">
        <v>41391104</v>
      </c>
      <c r="W29" s="32">
        <v>71.152737999999999</v>
      </c>
      <c r="X29" s="32">
        <v>74.905512999999999</v>
      </c>
      <c r="Y29" s="32">
        <v>37.369269000000003</v>
      </c>
      <c r="Z29" s="32">
        <v>39.408925000000004</v>
      </c>
      <c r="AA29" s="32">
        <v>38.766097000000002</v>
      </c>
      <c r="AB29" s="33">
        <v>1420.25</v>
      </c>
      <c r="AC29" s="33">
        <v>1494.5</v>
      </c>
      <c r="AD29" s="33">
        <v>58.012999999999998</v>
      </c>
      <c r="AE29" s="33">
        <v>19.001000000000001</v>
      </c>
      <c r="AG29" s="28">
        <f t="shared" si="6"/>
        <v>44.179304999999999</v>
      </c>
      <c r="AH29" s="29">
        <f t="shared" si="7"/>
        <v>0.18827651650885516</v>
      </c>
      <c r="AI29" s="29">
        <f t="shared" si="8"/>
        <v>2.2894047303029515E-2</v>
      </c>
      <c r="AJ29" s="29">
        <f t="shared" si="9"/>
        <v>1.7641484544799295E-2</v>
      </c>
      <c r="AK29" s="29">
        <f t="shared" si="10"/>
        <v>0.16538195780841952</v>
      </c>
      <c r="AL29" s="26">
        <f t="shared" si="11"/>
        <v>5730256</v>
      </c>
      <c r="AM29" s="29">
        <v>16</v>
      </c>
      <c r="AN29" s="30">
        <v>24573689</v>
      </c>
      <c r="AO29" s="30">
        <v>767927.78125</v>
      </c>
      <c r="AP29" s="30">
        <v>9762.53125</v>
      </c>
      <c r="AQ29" s="31">
        <v>47124592</v>
      </c>
      <c r="AR29" s="31">
        <v>4415568</v>
      </c>
      <c r="AS29" s="31">
        <v>1314688</v>
      </c>
      <c r="AT29" s="31">
        <v>41394208</v>
      </c>
      <c r="AU29" s="32">
        <v>71.151606000000001</v>
      </c>
      <c r="AV29" s="32">
        <v>74.903306000000001</v>
      </c>
      <c r="AW29" s="32">
        <v>37.368586999999998</v>
      </c>
      <c r="AX29" s="32">
        <v>39.408009</v>
      </c>
      <c r="AY29" s="32">
        <v>38.764674999999997</v>
      </c>
      <c r="AZ29" s="33">
        <v>1654.53</v>
      </c>
      <c r="BA29" s="33">
        <v>1637.28</v>
      </c>
      <c r="BB29" s="33">
        <v>65.308000000000007</v>
      </c>
      <c r="BC29" s="33">
        <v>20.838999999999999</v>
      </c>
      <c r="BE29" s="34">
        <f t="shared" si="12"/>
        <v>0.99568520933129079</v>
      </c>
      <c r="BF29" s="35">
        <f t="shared" si="13"/>
        <v>2.2764977241823692E-5</v>
      </c>
      <c r="BG29" s="35">
        <f t="shared" si="14"/>
        <v>-4.7099208485938682E-4</v>
      </c>
      <c r="BH29" s="35"/>
      <c r="BJ29" s="34"/>
      <c r="BK29" s="34"/>
      <c r="BL29" s="34"/>
      <c r="BM29" s="34"/>
      <c r="BN29" s="34"/>
      <c r="BP29" s="34"/>
      <c r="BQ29" s="34"/>
      <c r="BR29" s="34"/>
      <c r="BS29" s="34"/>
      <c r="BT29" s="34"/>
      <c r="BV29" s="58">
        <f t="shared" si="16"/>
        <v>2331</v>
      </c>
      <c r="BW29" s="58">
        <f t="shared" si="16"/>
        <v>72.84375</v>
      </c>
      <c r="BX29" s="58">
        <f t="shared" si="16"/>
        <v>18.40625</v>
      </c>
      <c r="BY29" s="58">
        <f t="shared" si="16"/>
        <v>-21600</v>
      </c>
      <c r="BZ29" s="58">
        <f t="shared" si="16"/>
        <v>-72</v>
      </c>
      <c r="CA29" s="58">
        <f t="shared" si="16"/>
        <v>-24760</v>
      </c>
      <c r="CB29" s="58">
        <f t="shared" si="16"/>
        <v>3104</v>
      </c>
      <c r="CC29" s="58">
        <f t="shared" si="16"/>
        <v>-1.1319999999983565E-3</v>
      </c>
      <c r="CD29" s="58">
        <f t="shared" si="16"/>
        <v>-2.2069999999985157E-3</v>
      </c>
      <c r="CE29" s="58">
        <f t="shared" si="16"/>
        <v>-6.8200000000473437E-4</v>
      </c>
      <c r="CF29" s="58">
        <f t="shared" si="16"/>
        <v>-9.1600000000369164E-4</v>
      </c>
      <c r="CG29" s="58">
        <f t="shared" si="16"/>
        <v>-1.4220000000051414E-3</v>
      </c>
      <c r="CJ29" t="s">
        <v>241</v>
      </c>
    </row>
    <row r="30" spans="1:88">
      <c r="A30" s="17" t="s">
        <v>242</v>
      </c>
      <c r="B30" s="17" t="s">
        <v>77</v>
      </c>
      <c r="C30" s="18" t="s">
        <v>232</v>
      </c>
      <c r="D30" s="17">
        <v>375422539</v>
      </c>
      <c r="E30" s="18">
        <v>11</v>
      </c>
      <c r="F30" s="18">
        <v>32</v>
      </c>
      <c r="G30" s="18">
        <v>30</v>
      </c>
      <c r="I30" s="19">
        <f t="shared" si="0"/>
        <v>5.7329774999999996</v>
      </c>
      <c r="J30" s="20">
        <f t="shared" si="1"/>
        <v>1.6288782277933504E-2</v>
      </c>
      <c r="K30" s="20">
        <f t="shared" si="2"/>
        <v>9.9774936528251434E-3</v>
      </c>
      <c r="L30" s="20">
        <f t="shared" si="3"/>
        <v>6.1752286002199775E-3</v>
      </c>
      <c r="M30" s="20">
        <f t="shared" si="4"/>
        <v>6.3112886251083609E-3</v>
      </c>
      <c r="N30" s="17">
        <f t="shared" si="5"/>
        <v>3745776</v>
      </c>
      <c r="O30" s="20">
        <v>16</v>
      </c>
      <c r="P30" s="21">
        <v>84258322</v>
      </c>
      <c r="Q30" s="21">
        <v>2633072.5625</v>
      </c>
      <c r="R30" s="21">
        <v>32425.28125</v>
      </c>
      <c r="S30" s="22">
        <v>6115176</v>
      </c>
      <c r="T30" s="22">
        <v>2318320</v>
      </c>
      <c r="U30" s="22">
        <v>1427456</v>
      </c>
      <c r="V30" s="22">
        <v>2369400</v>
      </c>
      <c r="W30" s="23">
        <v>73.460730999999996</v>
      </c>
      <c r="X30" s="23">
        <v>75.713605999999999</v>
      </c>
      <c r="Y30" s="23">
        <v>34.745108999999999</v>
      </c>
      <c r="Z30" s="23">
        <v>42.167358999999998</v>
      </c>
      <c r="AA30" s="23">
        <v>43.793906</v>
      </c>
      <c r="AB30" s="24">
        <v>4020.87</v>
      </c>
      <c r="AC30" s="24">
        <v>3267.17</v>
      </c>
      <c r="AD30" s="24">
        <v>222.517</v>
      </c>
      <c r="AE30" s="24">
        <v>46.183</v>
      </c>
      <c r="AG30" s="19">
        <f t="shared" si="6"/>
        <v>5.7085425000000001</v>
      </c>
      <c r="AH30" s="20">
        <f t="shared" si="7"/>
        <v>1.6219356504858118E-2</v>
      </c>
      <c r="AI30" s="20">
        <f t="shared" si="8"/>
        <v>9.9058304008753182E-3</v>
      </c>
      <c r="AJ30" s="20">
        <f t="shared" si="9"/>
        <v>6.1737156383144063E-3</v>
      </c>
      <c r="AK30" s="20">
        <f t="shared" si="10"/>
        <v>6.3131851548209788E-3</v>
      </c>
      <c r="AL30" s="17">
        <f t="shared" si="11"/>
        <v>3718872</v>
      </c>
      <c r="AM30" s="20">
        <v>16</v>
      </c>
      <c r="AN30" s="21">
        <v>84222724</v>
      </c>
      <c r="AO30" s="21">
        <v>2631960.125</v>
      </c>
      <c r="AP30" s="21">
        <v>32403.9375</v>
      </c>
      <c r="AQ30" s="22">
        <v>6089112</v>
      </c>
      <c r="AR30" s="22">
        <v>2317752</v>
      </c>
      <c r="AS30" s="22">
        <v>1401120</v>
      </c>
      <c r="AT30" s="22">
        <v>2370112</v>
      </c>
      <c r="AU30" s="23">
        <v>73.460352999999998</v>
      </c>
      <c r="AV30" s="23">
        <v>75.716099999999997</v>
      </c>
      <c r="AW30" s="23">
        <v>34.745255999999998</v>
      </c>
      <c r="AX30" s="23">
        <v>42.164247000000003</v>
      </c>
      <c r="AY30" s="23">
        <v>43.813215999999997</v>
      </c>
      <c r="AZ30" s="24">
        <v>3628.42</v>
      </c>
      <c r="BA30" s="24">
        <v>3063.22</v>
      </c>
      <c r="BB30" s="24">
        <v>224.49799999999999</v>
      </c>
      <c r="BC30" s="24">
        <v>45.436999999999998</v>
      </c>
      <c r="BE30" s="49">
        <f t="shared" si="12"/>
        <v>0.99281750964286175</v>
      </c>
      <c r="BF30" s="25">
        <f t="shared" si="13"/>
        <v>-2.9044922488213193E-6</v>
      </c>
      <c r="BG30" s="25">
        <f t="shared" si="14"/>
        <v>-1.7964551669195084E-3</v>
      </c>
      <c r="BH30" s="25">
        <f t="array" ref="BH30">AVERAGE(AL30:AL34/AQ30:AQ34) - AVERAGE(N30:N34/S30:S34)</f>
        <v>-1.159122402670576E-3</v>
      </c>
      <c r="BJ30" s="49">
        <f>IF( OR(ISBLANK(N30:N34),ISBLANK(AL30:AL34), ISBLANK(W30:W34),ISBLANK(AU30:AU34)), "·", bdRateExtend( N30:N34,W30:W34, AL30:AL34,AU30:AU34))</f>
        <v>-4.9235574772035218E-3</v>
      </c>
      <c r="BK30" s="49">
        <f>IF( OR(ISBLANK(N30:N34),ISBLANK(AL30:AL34), ISBLANK(X30:X34),ISBLANK(AV30:AV34)), "·", bdRateExtend( N30:N34,X30:X34, AL30:AL34,AV30:AV34))</f>
        <v>-4.428219635455477E-3</v>
      </c>
      <c r="BL30" s="49">
        <f>IF( OR(ISBLANK(V30:V34),ISBLANK(AT30:AT34), ISBLANK(Y30:Y34),ISBLANK(AW30:AW34)), "·", bdRateExtend( V30:V34,Y30:Y34, AT30:AT34,AW30:AW34))</f>
        <v>2.989151029386683E-4</v>
      </c>
      <c r="BM30" s="49">
        <f>IF( OR(ISBLANK(V30:V34),ISBLANK(AT30:AT34), ISBLANK(Z30:Z34),ISBLANK(AX30:AX34)), "·", bdRateExtend( V30:V34,Z30:Z34, AT30:AT34,AX30:AX34))</f>
        <v>3.9123857182543631E-4</v>
      </c>
      <c r="BN30" s="49">
        <f>IF( OR(ISBLANK(V30:V34),ISBLANK(AT30:AT34), ISBLANK(AA30:AA34),ISBLANK(AY30:AY34)), "·", bdRateExtend( V30:V34,AA30:AA34, AT30:AT34,AY30:AY34))</f>
        <v>3.0467562601361742E-3</v>
      </c>
      <c r="BP30" s="49">
        <f>IF( OR(ISBLANK(S30:S34),ISBLANK(AQ30:AQ34), ISBLANK(W30:W34),ISBLANK(AU30:AU34)), "·", bdRateExtend( S30:S34,W30:W34, AQ30:AQ34,AU30:AU34))</f>
        <v>-2.280374603056079E-3</v>
      </c>
      <c r="BQ30" s="49">
        <f>IF( OR(ISBLANK(S30:S34),ISBLANK(AQ30:AQ34), ISBLANK(X30:X34),ISBLANK(AV30:AV34)), "·", bdRateExtend( S30:S34,X30:X34, AQ30:AQ34,AV30:AV34))</f>
        <v>-1.685963598689777E-3</v>
      </c>
      <c r="BR30" s="49">
        <f>IF( OR(ISBLANK(S30:S34),ISBLANK(AQ30:AQ34), ISBLANK(Y30:Y34),ISBLANK(AW30:AW34)), "·", bdRateExtend( S30:S34,Y30:Y34, AQ30:AQ34,AW30:AW34))</f>
        <v>-2.1389726818035193E-3</v>
      </c>
      <c r="BS30" s="49">
        <f>IF( OR(ISBLANK(S30:S34),ISBLANK(AQ30:AQ34), ISBLANK(Z30:Z34),ISBLANK(AX30:AX34)), "·", bdRateExtend( S30:S34,Z30:Z34, AQ30:AQ34,AX30:AX34))</f>
        <v>-1.5369859766231064E-3</v>
      </c>
      <c r="BT30" s="49">
        <f>IF( OR(ISBLANK(S30:S34),ISBLANK(AQ30:AQ34), ISBLANK(AA30:AA34),ISBLANK(AY30:AY34)), "·", bdRateExtend( S30:S34,AA30:AA34, AQ30:AQ34,AY30:AY34))</f>
        <v>-3.464109276511973E-4</v>
      </c>
      <c r="BV30" s="58">
        <f t="shared" si="16"/>
        <v>-35598</v>
      </c>
      <c r="BW30" s="58">
        <f t="shared" si="16"/>
        <v>-1112.4375</v>
      </c>
      <c r="BX30" s="58">
        <f t="shared" si="16"/>
        <v>-21.34375</v>
      </c>
      <c r="BY30" s="58">
        <f t="shared" si="16"/>
        <v>-26064</v>
      </c>
      <c r="BZ30" s="58">
        <f t="shared" si="16"/>
        <v>-568</v>
      </c>
      <c r="CA30" s="58">
        <f t="shared" si="16"/>
        <v>-26336</v>
      </c>
      <c r="CB30" s="58">
        <f t="shared" si="16"/>
        <v>712</v>
      </c>
      <c r="CC30" s="58">
        <f t="shared" si="16"/>
        <v>-3.7799999999776901E-4</v>
      </c>
      <c r="CD30" s="58">
        <f t="shared" si="16"/>
        <v>2.493999999998664E-3</v>
      </c>
      <c r="CE30" s="58">
        <f t="shared" si="16"/>
        <v>1.469999999983429E-4</v>
      </c>
      <c r="CF30" s="58">
        <f t="shared" si="16"/>
        <v>-3.1119999999944525E-3</v>
      </c>
      <c r="CG30" s="58">
        <f t="shared" si="16"/>
        <v>1.9309999999997274E-2</v>
      </c>
      <c r="CJ30" t="s">
        <v>243</v>
      </c>
    </row>
    <row r="31" spans="1:88" outlineLevel="1">
      <c r="A31" s="52"/>
      <c r="B31" s="52" t="s">
        <v>77</v>
      </c>
      <c r="C31" s="9" t="s">
        <v>234</v>
      </c>
      <c r="D31" s="52">
        <v>375422539</v>
      </c>
      <c r="E31" s="9">
        <v>11</v>
      </c>
      <c r="F31" s="9">
        <v>32</v>
      </c>
      <c r="G31" s="9">
        <v>30</v>
      </c>
      <c r="I31" s="10">
        <f t="shared" si="0"/>
        <v>8.1752775</v>
      </c>
      <c r="J31" s="11">
        <f t="shared" si="1"/>
        <v>2.3227950093854116E-2</v>
      </c>
      <c r="K31" s="11">
        <f t="shared" si="2"/>
        <v>1.2273274833933185E-2</v>
      </c>
      <c r="L31" s="11">
        <f t="shared" si="3"/>
        <v>8.4710097813280195E-3</v>
      </c>
      <c r="M31" s="11">
        <f t="shared" si="4"/>
        <v>1.0954675259920929E-2</v>
      </c>
      <c r="N31" s="52">
        <f t="shared" si="5"/>
        <v>4607664</v>
      </c>
      <c r="O31" s="11">
        <v>16</v>
      </c>
      <c r="P31" s="12">
        <v>89857639</v>
      </c>
      <c r="Q31" s="12">
        <v>2808051.21875</v>
      </c>
      <c r="R31" s="12">
        <v>41097.03125</v>
      </c>
      <c r="S31" s="13">
        <v>8720296</v>
      </c>
      <c r="T31" s="13">
        <v>3180208</v>
      </c>
      <c r="U31" s="13">
        <v>1427456</v>
      </c>
      <c r="V31" s="13">
        <v>4112632</v>
      </c>
      <c r="W31" s="14">
        <v>75.170683999999994</v>
      </c>
      <c r="X31" s="14">
        <v>77.575241000000005</v>
      </c>
      <c r="Y31" s="14">
        <v>36.650725000000001</v>
      </c>
      <c r="Z31" s="14">
        <v>42.678502999999999</v>
      </c>
      <c r="AA31" s="14">
        <v>45.052522000000003</v>
      </c>
      <c r="AB31" s="15">
        <v>4002.83</v>
      </c>
      <c r="AC31" s="15">
        <v>3256.13</v>
      </c>
      <c r="AD31" s="15">
        <v>239.76499999999999</v>
      </c>
      <c r="AE31" s="15">
        <v>48.701999999999998</v>
      </c>
      <c r="AG31" s="10">
        <f t="shared" si="6"/>
        <v>8.1520650000000003</v>
      </c>
      <c r="AH31" s="11">
        <f t="shared" si="7"/>
        <v>2.3161997740364756E-2</v>
      </c>
      <c r="AI31" s="11">
        <f t="shared" si="8"/>
        <v>1.2198990535301877E-2</v>
      </c>
      <c r="AJ31" s="11">
        <f t="shared" si="9"/>
        <v>8.4668544634183517E-3</v>
      </c>
      <c r="AK31" s="11">
        <f t="shared" si="10"/>
        <v>1.096266625590106E-2</v>
      </c>
      <c r="AL31" s="52">
        <f t="shared" si="11"/>
        <v>4579776</v>
      </c>
      <c r="AM31" s="11">
        <v>16</v>
      </c>
      <c r="AN31" s="12">
        <v>89921469</v>
      </c>
      <c r="AO31" s="12">
        <v>2810045.90625</v>
      </c>
      <c r="AP31" s="12">
        <v>41144.15625</v>
      </c>
      <c r="AQ31" s="13">
        <v>8695536</v>
      </c>
      <c r="AR31" s="13">
        <v>3178648</v>
      </c>
      <c r="AS31" s="13">
        <v>1401128</v>
      </c>
      <c r="AT31" s="13">
        <v>4115632</v>
      </c>
      <c r="AU31" s="14">
        <v>75.176094000000006</v>
      </c>
      <c r="AV31" s="14">
        <v>77.575508999999997</v>
      </c>
      <c r="AW31" s="14">
        <v>36.650331000000001</v>
      </c>
      <c r="AX31" s="14">
        <v>42.686883999999999</v>
      </c>
      <c r="AY31" s="14">
        <v>45.020806</v>
      </c>
      <c r="AZ31" s="15">
        <v>4259.92</v>
      </c>
      <c r="BA31" s="15">
        <v>4395.33</v>
      </c>
      <c r="BB31" s="15">
        <v>278.48200000000003</v>
      </c>
      <c r="BC31" s="15">
        <v>62.22</v>
      </c>
      <c r="BE31" s="50">
        <f t="shared" si="12"/>
        <v>0.99394747533674332</v>
      </c>
      <c r="BF31" s="16">
        <f t="shared" si="13"/>
        <v>6.3813529881783654E-6</v>
      </c>
      <c r="BG31" s="16">
        <f t="shared" si="14"/>
        <v>-1.7026224333216433E-3</v>
      </c>
      <c r="BH31" s="16"/>
      <c r="BJ31" s="50"/>
      <c r="BK31" s="50"/>
      <c r="BL31" s="50"/>
      <c r="BM31" s="50"/>
      <c r="BN31" s="50"/>
      <c r="BP31" s="50"/>
      <c r="BQ31" s="50"/>
      <c r="BR31" s="50"/>
      <c r="BS31" s="50"/>
      <c r="BT31" s="50"/>
      <c r="BV31" s="58">
        <f t="shared" si="16"/>
        <v>63830</v>
      </c>
      <c r="BW31" s="58">
        <f t="shared" si="16"/>
        <v>1994.6875</v>
      </c>
      <c r="BX31" s="58">
        <f t="shared" si="16"/>
        <v>47.125</v>
      </c>
      <c r="BY31" s="58">
        <f t="shared" si="16"/>
        <v>-24760</v>
      </c>
      <c r="BZ31" s="58">
        <f t="shared" si="16"/>
        <v>-1560</v>
      </c>
      <c r="CA31" s="58">
        <f t="shared" si="16"/>
        <v>-26328</v>
      </c>
      <c r="CB31" s="58">
        <f t="shared" si="16"/>
        <v>3000</v>
      </c>
      <c r="CC31" s="58">
        <f t="shared" si="16"/>
        <v>5.4100000000119053E-3</v>
      </c>
      <c r="CD31" s="58">
        <f t="shared" si="16"/>
        <v>2.6799999999127522E-4</v>
      </c>
      <c r="CE31" s="58">
        <f t="shared" si="16"/>
        <v>-3.9400000000000546E-4</v>
      </c>
      <c r="CF31" s="58">
        <f t="shared" si="16"/>
        <v>8.3809999999999718E-3</v>
      </c>
      <c r="CG31" s="58">
        <f t="shared" si="16"/>
        <v>-3.1716000000002964E-2</v>
      </c>
      <c r="CJ31" t="s">
        <v>243</v>
      </c>
    </row>
    <row r="32" spans="1:88" outlineLevel="1">
      <c r="A32" s="17"/>
      <c r="B32" s="17" t="s">
        <v>77</v>
      </c>
      <c r="C32" s="18" t="s">
        <v>235</v>
      </c>
      <c r="D32" s="17">
        <v>375422539</v>
      </c>
      <c r="E32" s="18">
        <v>11</v>
      </c>
      <c r="F32" s="18">
        <v>32</v>
      </c>
      <c r="G32" s="18">
        <v>30</v>
      </c>
      <c r="I32" s="19">
        <f t="shared" si="0"/>
        <v>12.6639</v>
      </c>
      <c r="J32" s="20">
        <f t="shared" si="1"/>
        <v>3.5981217419660573E-2</v>
      </c>
      <c r="K32" s="20">
        <f t="shared" si="2"/>
        <v>1.5579735877285728E-2</v>
      </c>
      <c r="L32" s="20">
        <f t="shared" si="3"/>
        <v>1.1777470824680562E-2</v>
      </c>
      <c r="M32" s="20">
        <f t="shared" si="4"/>
        <v>2.0401481542374846E-2</v>
      </c>
      <c r="N32" s="17">
        <f t="shared" si="5"/>
        <v>5848984</v>
      </c>
      <c r="O32" s="20">
        <v>16</v>
      </c>
      <c r="P32" s="21">
        <v>91814344</v>
      </c>
      <c r="Q32" s="21">
        <v>2869198.25</v>
      </c>
      <c r="R32" s="21">
        <v>44687.40625</v>
      </c>
      <c r="S32" s="22">
        <v>13508160</v>
      </c>
      <c r="T32" s="22">
        <v>4421528</v>
      </c>
      <c r="U32" s="22">
        <v>1427456</v>
      </c>
      <c r="V32" s="22">
        <v>7659176</v>
      </c>
      <c r="W32" s="23">
        <v>76.466316000000006</v>
      </c>
      <c r="X32" s="23">
        <v>79.123750000000001</v>
      </c>
      <c r="Y32" s="23">
        <v>38.406483999999999</v>
      </c>
      <c r="Z32" s="23">
        <v>43.205109</v>
      </c>
      <c r="AA32" s="23">
        <v>46.226287999999997</v>
      </c>
      <c r="AB32" s="24">
        <v>3779.57</v>
      </c>
      <c r="AC32" s="24">
        <v>3533.51</v>
      </c>
      <c r="AD32" s="24">
        <v>244.81399999999999</v>
      </c>
      <c r="AE32" s="24">
        <v>50.128</v>
      </c>
      <c r="AG32" s="19">
        <f t="shared" si="6"/>
        <v>12.636060000000001</v>
      </c>
      <c r="AH32" s="20">
        <f t="shared" si="7"/>
        <v>3.5902117214118567E-2</v>
      </c>
      <c r="AI32" s="20">
        <f t="shared" si="8"/>
        <v>1.5507625129561015E-2</v>
      </c>
      <c r="AJ32" s="20">
        <f t="shared" si="9"/>
        <v>1.1775489057677488E-2</v>
      </c>
      <c r="AK32" s="20">
        <f t="shared" si="10"/>
        <v>2.0394151135395736E-2</v>
      </c>
      <c r="AL32" s="17">
        <f t="shared" si="11"/>
        <v>5821912</v>
      </c>
      <c r="AM32" s="20">
        <v>16</v>
      </c>
      <c r="AN32" s="21">
        <v>91807302</v>
      </c>
      <c r="AO32" s="21">
        <v>2868978.1875</v>
      </c>
      <c r="AP32" s="21">
        <v>44674.96875</v>
      </c>
      <c r="AQ32" s="22">
        <v>13478464</v>
      </c>
      <c r="AR32" s="22">
        <v>4420784</v>
      </c>
      <c r="AS32" s="22">
        <v>1401128</v>
      </c>
      <c r="AT32" s="22">
        <v>7656424</v>
      </c>
      <c r="AU32" s="23">
        <v>76.463543999999999</v>
      </c>
      <c r="AV32" s="23">
        <v>79.122819000000007</v>
      </c>
      <c r="AW32" s="23">
        <v>38.406191</v>
      </c>
      <c r="AX32" s="23">
        <v>43.197693999999998</v>
      </c>
      <c r="AY32" s="23">
        <v>46.202911999999998</v>
      </c>
      <c r="AZ32" s="24">
        <v>4550.1400000000003</v>
      </c>
      <c r="BA32" s="24">
        <v>3892.13</v>
      </c>
      <c r="BB32" s="24">
        <v>287.91800000000001</v>
      </c>
      <c r="BC32" s="24">
        <v>65.013000000000005</v>
      </c>
      <c r="BE32" s="49">
        <f t="shared" si="12"/>
        <v>0.9953715038372476</v>
      </c>
      <c r="BF32" s="25">
        <f t="shared" si="13"/>
        <v>-3.1405097271931803E-6</v>
      </c>
      <c r="BG32" s="25">
        <f t="shared" si="14"/>
        <v>-1.0545519382560986E-3</v>
      </c>
      <c r="BH32" s="25"/>
      <c r="BJ32" s="49"/>
      <c r="BK32" s="49"/>
      <c r="BL32" s="49"/>
      <c r="BM32" s="49"/>
      <c r="BN32" s="49"/>
      <c r="BP32" s="49"/>
      <c r="BQ32" s="49"/>
      <c r="BR32" s="49"/>
      <c r="BS32" s="49"/>
      <c r="BT32" s="49"/>
      <c r="BV32" s="58">
        <f t="shared" si="16"/>
        <v>-7042</v>
      </c>
      <c r="BW32" s="58">
        <f t="shared" si="16"/>
        <v>-220.0625</v>
      </c>
      <c r="BX32" s="58">
        <f t="shared" si="16"/>
        <v>-12.4375</v>
      </c>
      <c r="BY32" s="58">
        <f t="shared" si="16"/>
        <v>-29696</v>
      </c>
      <c r="BZ32" s="58">
        <f t="shared" si="16"/>
        <v>-744</v>
      </c>
      <c r="CA32" s="58">
        <f t="shared" si="16"/>
        <v>-26328</v>
      </c>
      <c r="CB32" s="58">
        <f t="shared" si="16"/>
        <v>-2752</v>
      </c>
      <c r="CC32" s="58">
        <f t="shared" si="16"/>
        <v>-2.7720000000073242E-3</v>
      </c>
      <c r="CD32" s="58">
        <f t="shared" si="16"/>
        <v>-9.3099999999424199E-4</v>
      </c>
      <c r="CE32" s="58">
        <f t="shared" si="16"/>
        <v>-2.9299999999921056E-4</v>
      </c>
      <c r="CF32" s="58">
        <f t="shared" si="16"/>
        <v>-7.4150000000017258E-3</v>
      </c>
      <c r="CG32" s="58">
        <f t="shared" si="16"/>
        <v>-2.3375999999998953E-2</v>
      </c>
      <c r="CJ32" t="s">
        <v>243</v>
      </c>
    </row>
    <row r="33" spans="1:88" outlineLevel="1">
      <c r="A33" s="52"/>
      <c r="B33" s="52" t="s">
        <v>77</v>
      </c>
      <c r="C33" s="9" t="s">
        <v>236</v>
      </c>
      <c r="D33" s="52">
        <v>375422539</v>
      </c>
      <c r="E33" s="9">
        <v>11</v>
      </c>
      <c r="F33" s="9">
        <v>32</v>
      </c>
      <c r="G33" s="9">
        <v>30</v>
      </c>
      <c r="I33" s="10">
        <f t="shared" si="0"/>
        <v>21.163305000000001</v>
      </c>
      <c r="J33" s="11">
        <f t="shared" si="1"/>
        <v>6.0130092508910341E-2</v>
      </c>
      <c r="K33" s="11">
        <f t="shared" si="2"/>
        <v>2.1049370187121344E-2</v>
      </c>
      <c r="L33" s="11">
        <f t="shared" si="3"/>
        <v>1.7247105134516178E-2</v>
      </c>
      <c r="M33" s="11">
        <f t="shared" si="4"/>
        <v>3.9080722321788997E-2</v>
      </c>
      <c r="N33" s="52">
        <f t="shared" si="5"/>
        <v>7902408</v>
      </c>
      <c r="O33" s="11">
        <v>16</v>
      </c>
      <c r="P33" s="12">
        <v>93918250</v>
      </c>
      <c r="Q33" s="12">
        <v>2934945.3125</v>
      </c>
      <c r="R33" s="12">
        <v>49412.375</v>
      </c>
      <c r="S33" s="13">
        <v>22574192</v>
      </c>
      <c r="T33" s="13">
        <v>6474952</v>
      </c>
      <c r="U33" s="13">
        <v>1427456</v>
      </c>
      <c r="V33" s="13">
        <v>14671784</v>
      </c>
      <c r="W33" s="14">
        <v>77.598421999999999</v>
      </c>
      <c r="X33" s="14">
        <v>80.328506000000004</v>
      </c>
      <c r="Y33" s="14">
        <v>40.000678000000001</v>
      </c>
      <c r="Z33" s="14">
        <v>43.908222000000002</v>
      </c>
      <c r="AA33" s="14">
        <v>47.816415999999997</v>
      </c>
      <c r="AB33" s="15">
        <v>4184.0600000000004</v>
      </c>
      <c r="AC33" s="15">
        <v>4723.45</v>
      </c>
      <c r="AD33" s="15">
        <v>269.44099999999997</v>
      </c>
      <c r="AE33" s="15">
        <v>71.043999999999997</v>
      </c>
      <c r="AG33" s="10">
        <f t="shared" si="6"/>
        <v>21.143902499999999</v>
      </c>
      <c r="AH33" s="11">
        <f t="shared" si="7"/>
        <v>6.0074965291308735E-2</v>
      </c>
      <c r="AI33" s="11">
        <f t="shared" si="8"/>
        <v>2.0983801401439035E-2</v>
      </c>
      <c r="AJ33" s="11">
        <f t="shared" si="9"/>
        <v>1.7251686638878119E-2</v>
      </c>
      <c r="AK33" s="11">
        <f t="shared" si="10"/>
        <v>3.9090822940707884E-2</v>
      </c>
      <c r="AL33" s="52">
        <f t="shared" si="11"/>
        <v>7877792</v>
      </c>
      <c r="AM33" s="11">
        <v>16</v>
      </c>
      <c r="AN33" s="12">
        <v>93903453</v>
      </c>
      <c r="AO33" s="12">
        <v>2934482.90625</v>
      </c>
      <c r="AP33" s="12">
        <v>49438.65625</v>
      </c>
      <c r="AQ33" s="13">
        <v>22553496</v>
      </c>
      <c r="AR33" s="13">
        <v>6476672</v>
      </c>
      <c r="AS33" s="13">
        <v>1401120</v>
      </c>
      <c r="AT33" s="13">
        <v>14675576</v>
      </c>
      <c r="AU33" s="14">
        <v>77.596374999999995</v>
      </c>
      <c r="AV33" s="14">
        <v>80.325100000000006</v>
      </c>
      <c r="AW33" s="14">
        <v>40.0002</v>
      </c>
      <c r="AX33" s="14">
        <v>43.906830999999997</v>
      </c>
      <c r="AY33" s="14">
        <v>47.839362000000001</v>
      </c>
      <c r="AZ33" s="15">
        <v>3669.18</v>
      </c>
      <c r="BA33" s="15">
        <v>3548.41</v>
      </c>
      <c r="BB33" s="15">
        <v>245.012</v>
      </c>
      <c r="BC33" s="15">
        <v>49.493000000000002</v>
      </c>
      <c r="BE33" s="50">
        <f t="shared" si="12"/>
        <v>0.99688500011642023</v>
      </c>
      <c r="BF33" s="16">
        <f t="shared" si="13"/>
        <v>1.1608949624222764E-5</v>
      </c>
      <c r="BG33" s="16">
        <f t="shared" si="14"/>
        <v>-7.7021669171767337E-4</v>
      </c>
      <c r="BH33" s="16"/>
      <c r="BJ33" s="50"/>
      <c r="BK33" s="50"/>
      <c r="BL33" s="50"/>
      <c r="BM33" s="50"/>
      <c r="BN33" s="50"/>
      <c r="BP33" s="50"/>
      <c r="BQ33" s="50"/>
      <c r="BR33" s="50"/>
      <c r="BS33" s="50"/>
      <c r="BT33" s="50"/>
      <c r="BV33" s="58">
        <f t="shared" si="16"/>
        <v>-14797</v>
      </c>
      <c r="BW33" s="58">
        <f t="shared" si="16"/>
        <v>-462.40625</v>
      </c>
      <c r="BX33" s="58">
        <f t="shared" si="16"/>
        <v>26.28125</v>
      </c>
      <c r="BY33" s="58">
        <f t="shared" si="16"/>
        <v>-20696</v>
      </c>
      <c r="BZ33" s="58">
        <f t="shared" si="16"/>
        <v>1720</v>
      </c>
      <c r="CA33" s="58">
        <f t="shared" si="16"/>
        <v>-26336</v>
      </c>
      <c r="CB33" s="58">
        <f t="shared" si="16"/>
        <v>3792</v>
      </c>
      <c r="CC33" s="58">
        <f t="shared" si="16"/>
        <v>-2.0470000000045729E-3</v>
      </c>
      <c r="CD33" s="58">
        <f t="shared" si="16"/>
        <v>-3.4059999999982438E-3</v>
      </c>
      <c r="CE33" s="58">
        <f t="shared" si="16"/>
        <v>-4.7800000000108867E-4</v>
      </c>
      <c r="CF33" s="58">
        <f t="shared" si="16"/>
        <v>-1.3910000000052491E-3</v>
      </c>
      <c r="CG33" s="58">
        <f t="shared" si="16"/>
        <v>2.2946000000004574E-2</v>
      </c>
      <c r="CJ33" t="s">
        <v>243</v>
      </c>
    </row>
    <row r="34" spans="1:88" ht="16" outlineLevel="1" thickBot="1">
      <c r="A34" s="17"/>
      <c r="B34" s="36" t="s">
        <v>77</v>
      </c>
      <c r="C34" s="37" t="s">
        <v>237</v>
      </c>
      <c r="D34" s="36">
        <v>375422539</v>
      </c>
      <c r="E34" s="37">
        <v>11</v>
      </c>
      <c r="F34" s="37">
        <v>32</v>
      </c>
      <c r="G34" s="37">
        <v>30</v>
      </c>
      <c r="I34" s="38">
        <f t="shared" si="0"/>
        <v>39.830572500000002</v>
      </c>
      <c r="J34" s="39">
        <f t="shared" si="1"/>
        <v>0.11316833590537301</v>
      </c>
      <c r="K34" s="39">
        <f t="shared" si="2"/>
        <v>3.3717187129246921E-2</v>
      </c>
      <c r="L34" s="39">
        <f t="shared" si="3"/>
        <v>2.6181230424207429E-2</v>
      </c>
      <c r="M34" s="39">
        <f t="shared" si="4"/>
        <v>7.9451148776126093E-2</v>
      </c>
      <c r="N34" s="36">
        <f t="shared" si="5"/>
        <v>12658192</v>
      </c>
      <c r="O34" s="39">
        <v>16</v>
      </c>
      <c r="P34" s="40">
        <v>92079625</v>
      </c>
      <c r="Q34" s="40">
        <v>2877488.28125</v>
      </c>
      <c r="R34" s="40">
        <v>21318.28125</v>
      </c>
      <c r="S34" s="41">
        <v>42485944</v>
      </c>
      <c r="T34" s="41">
        <v>9829024</v>
      </c>
      <c r="U34" s="41">
        <v>2829168</v>
      </c>
      <c r="V34" s="41">
        <v>29827752</v>
      </c>
      <c r="W34" s="42">
        <v>78.535988000000003</v>
      </c>
      <c r="X34" s="42">
        <v>81.998384000000001</v>
      </c>
      <c r="Y34" s="42">
        <v>41.515903000000002</v>
      </c>
      <c r="Z34" s="42">
        <v>44.700215999999998</v>
      </c>
      <c r="AA34" s="42">
        <v>49.230597000000003</v>
      </c>
      <c r="AB34" s="43">
        <v>3523.12</v>
      </c>
      <c r="AC34" s="43">
        <v>3798.45</v>
      </c>
      <c r="AD34" s="43">
        <v>223.96600000000001</v>
      </c>
      <c r="AE34" s="43">
        <v>50.738999999999997</v>
      </c>
      <c r="AG34" s="38">
        <f t="shared" si="6"/>
        <v>39.792007499999997</v>
      </c>
      <c r="AH34" s="39">
        <f t="shared" si="7"/>
        <v>0.11305876336849344</v>
      </c>
      <c r="AI34" s="39">
        <f t="shared" si="8"/>
        <v>3.36312040125007E-2</v>
      </c>
      <c r="AJ34" s="39">
        <f t="shared" si="9"/>
        <v>2.6165184504279324E-2</v>
      </c>
      <c r="AK34" s="39">
        <f t="shared" si="10"/>
        <v>7.9427218406830924E-2</v>
      </c>
      <c r="AL34" s="36">
        <f t="shared" si="11"/>
        <v>12625912</v>
      </c>
      <c r="AM34" s="39">
        <v>16</v>
      </c>
      <c r="AN34" s="40">
        <v>92080504</v>
      </c>
      <c r="AO34" s="40">
        <v>2877515.75</v>
      </c>
      <c r="AP34" s="40">
        <v>21316.59375</v>
      </c>
      <c r="AQ34" s="41">
        <v>42444808</v>
      </c>
      <c r="AR34" s="41">
        <v>9823000</v>
      </c>
      <c r="AS34" s="41">
        <v>2802912</v>
      </c>
      <c r="AT34" s="41">
        <v>29818768</v>
      </c>
      <c r="AU34" s="42">
        <v>78.534274999999994</v>
      </c>
      <c r="AV34" s="42">
        <v>81.996005999999994</v>
      </c>
      <c r="AW34" s="42">
        <v>41.517031000000003</v>
      </c>
      <c r="AX34" s="42">
        <v>44.699230999999997</v>
      </c>
      <c r="AY34" s="42">
        <v>49.227505999999998</v>
      </c>
      <c r="AZ34" s="43">
        <v>4404.8599999999997</v>
      </c>
      <c r="BA34" s="43">
        <v>5409.69</v>
      </c>
      <c r="BB34" s="43">
        <v>275.45100000000002</v>
      </c>
      <c r="BC34" s="43">
        <v>76.882999999999996</v>
      </c>
      <c r="BE34" s="44">
        <f t="shared" si="12"/>
        <v>0.99744987277803976</v>
      </c>
      <c r="BF34" s="45">
        <f t="shared" si="13"/>
        <v>-6.5716621768744515E-7</v>
      </c>
      <c r="BG34" s="45">
        <f t="shared" si="14"/>
        <v>-4.7176578313773421E-4</v>
      </c>
      <c r="BH34" s="45"/>
      <c r="BJ34" s="44"/>
      <c r="BK34" s="44"/>
      <c r="BL34" s="44"/>
      <c r="BM34" s="44"/>
      <c r="BN34" s="44"/>
      <c r="BP34" s="44"/>
      <c r="BQ34" s="44"/>
      <c r="BR34" s="44"/>
      <c r="BS34" s="44"/>
      <c r="BT34" s="44"/>
      <c r="BV34" s="58">
        <f t="shared" si="16"/>
        <v>879</v>
      </c>
      <c r="BW34" s="58">
        <f t="shared" si="16"/>
        <v>27.46875</v>
      </c>
      <c r="BX34" s="58">
        <f t="shared" si="16"/>
        <v>-1.6875</v>
      </c>
      <c r="BY34" s="58">
        <f t="shared" si="16"/>
        <v>-41136</v>
      </c>
      <c r="BZ34" s="58">
        <f t="shared" si="16"/>
        <v>-6024</v>
      </c>
      <c r="CA34" s="58">
        <f t="shared" si="16"/>
        <v>-26256</v>
      </c>
      <c r="CB34" s="58">
        <f t="shared" si="16"/>
        <v>-8984</v>
      </c>
      <c r="CC34" s="58">
        <f t="shared" si="16"/>
        <v>-1.7130000000094014E-3</v>
      </c>
      <c r="CD34" s="58">
        <f t="shared" si="16"/>
        <v>-2.3780000000073187E-3</v>
      </c>
      <c r="CE34" s="58">
        <f t="shared" si="16"/>
        <v>1.1280000000013501E-3</v>
      </c>
      <c r="CF34" s="58">
        <f t="shared" si="16"/>
        <v>-9.8500000000001364E-4</v>
      </c>
      <c r="CG34" s="58">
        <f t="shared" si="16"/>
        <v>-3.0910000000048399E-3</v>
      </c>
      <c r="CJ34" t="s">
        <v>243</v>
      </c>
    </row>
    <row r="35" spans="1:88">
      <c r="A35" s="52"/>
      <c r="B35" s="52" t="s">
        <v>82</v>
      </c>
      <c r="C35" s="9" t="s">
        <v>232</v>
      </c>
      <c r="D35" s="52">
        <v>333190689</v>
      </c>
      <c r="E35" s="9">
        <v>11</v>
      </c>
      <c r="F35" s="9">
        <v>32</v>
      </c>
      <c r="G35" s="9">
        <v>30</v>
      </c>
      <c r="I35" s="10">
        <f t="shared" si="0"/>
        <v>6.3759674999999998</v>
      </c>
      <c r="J35" s="11">
        <f t="shared" si="1"/>
        <v>2.0411830896030832E-2</v>
      </c>
      <c r="K35" s="11">
        <f t="shared" si="2"/>
        <v>1.1829190100807409E-2</v>
      </c>
      <c r="L35" s="11">
        <f t="shared" si="3"/>
        <v>7.2102134882886838E-3</v>
      </c>
      <c r="M35" s="11">
        <f t="shared" si="4"/>
        <v>8.5826407952234226E-3</v>
      </c>
      <c r="N35" s="52">
        <f t="shared" si="5"/>
        <v>3941376</v>
      </c>
      <c r="O35" s="11">
        <v>16</v>
      </c>
      <c r="P35" s="12">
        <v>74688855</v>
      </c>
      <c r="Q35" s="12">
        <v>2334026.71875</v>
      </c>
      <c r="R35" s="12">
        <v>31011.90625</v>
      </c>
      <c r="S35" s="13">
        <v>6801032</v>
      </c>
      <c r="T35" s="13">
        <v>2402376</v>
      </c>
      <c r="U35" s="13">
        <v>1539000</v>
      </c>
      <c r="V35" s="13">
        <v>2859656</v>
      </c>
      <c r="W35" s="14">
        <v>73.191281000000004</v>
      </c>
      <c r="X35" s="14">
        <v>75.430569000000006</v>
      </c>
      <c r="Y35" s="14">
        <v>33.996271999999998</v>
      </c>
      <c r="Z35" s="14">
        <v>42.563065999999999</v>
      </c>
      <c r="AA35" s="14">
        <v>44.049106000000002</v>
      </c>
      <c r="AB35" s="15">
        <v>3820.07</v>
      </c>
      <c r="AC35" s="15">
        <v>5094.67</v>
      </c>
      <c r="AD35" s="15">
        <v>220.86799999999999</v>
      </c>
      <c r="AE35" s="15">
        <v>77.695999999999998</v>
      </c>
      <c r="AG35" s="10">
        <f t="shared" si="6"/>
        <v>6.3493124999999999</v>
      </c>
      <c r="AH35" s="11">
        <f t="shared" si="7"/>
        <v>2.0326498379431006E-2</v>
      </c>
      <c r="AI35" s="11">
        <f t="shared" si="8"/>
        <v>1.1743449409536172E-2</v>
      </c>
      <c r="AJ35" s="11">
        <f t="shared" si="9"/>
        <v>7.215327676818724E-3</v>
      </c>
      <c r="AK35" s="11">
        <f t="shared" si="10"/>
        <v>8.5826648054982118E-3</v>
      </c>
      <c r="AL35" s="52">
        <f t="shared" si="11"/>
        <v>3912808</v>
      </c>
      <c r="AM35" s="11">
        <v>16</v>
      </c>
      <c r="AN35" s="12">
        <v>74687269</v>
      </c>
      <c r="AO35" s="12">
        <v>2333977.15625</v>
      </c>
      <c r="AP35" s="12">
        <v>31010.34375</v>
      </c>
      <c r="AQ35" s="13">
        <v>6772600</v>
      </c>
      <c r="AR35" s="13">
        <v>2404080</v>
      </c>
      <c r="AS35" s="13">
        <v>1508728</v>
      </c>
      <c r="AT35" s="13">
        <v>2859664</v>
      </c>
      <c r="AU35" s="14">
        <v>73.190693999999993</v>
      </c>
      <c r="AV35" s="14">
        <v>75.430509000000001</v>
      </c>
      <c r="AW35" s="14">
        <v>33.996333999999997</v>
      </c>
      <c r="AX35" s="14">
        <v>42.564525000000003</v>
      </c>
      <c r="AY35" s="14">
        <v>44.035347000000002</v>
      </c>
      <c r="AZ35" s="15">
        <v>3850.64</v>
      </c>
      <c r="BA35" s="15">
        <v>6239.54</v>
      </c>
      <c r="BB35" s="15">
        <v>222.44200000000001</v>
      </c>
      <c r="BC35" s="15">
        <v>88.79</v>
      </c>
      <c r="BE35" s="50">
        <f t="shared" si="12"/>
        <v>0.99275176994024428</v>
      </c>
      <c r="BF35" s="16">
        <f t="shared" si="13"/>
        <v>-3.8730866499560312E-7</v>
      </c>
      <c r="BG35" s="16">
        <f t="shared" si="14"/>
        <v>-1.7852688845444442E-3</v>
      </c>
      <c r="BH35" s="16">
        <f t="array" ref="BH35">AVERAGE(AL35:AL39/AQ35:AQ39) - AVERAGE(N35:N39/S35:S39)</f>
        <v>-1.1519095076137909E-3</v>
      </c>
      <c r="BJ35" s="50">
        <f>IF( OR(ISBLANK(N35:N39),ISBLANK(AL35:AL39), ISBLANK(W35:W39),ISBLANK(AU35:AU39)), "·", bdRateExtend( N35:N39,W35:W39, AL35:AL39,AU35:AU39))</f>
        <v>-5.3430458797750768E-3</v>
      </c>
      <c r="BK35" s="50">
        <f>IF( OR(ISBLANK(N35:N39),ISBLANK(AL35:AL39), ISBLANK(X35:X39),ISBLANK(AV35:AV39)), "·", bdRateExtend( N35:N39,X35:X39, AL35:AL39,AV35:AV39))</f>
        <v>-4.8684509670176013E-3</v>
      </c>
      <c r="BL35" s="50">
        <f>IF( OR(ISBLANK(V35:V39),ISBLANK(AT35:AT39), ISBLANK(Y35:Y39),ISBLANK(AW35:AW39)), "·", bdRateExtend( V35:V39,Y35:Y39, AT35:AT39,AW35:AW39))</f>
        <v>-1.9124944546378142E-4</v>
      </c>
      <c r="BM35" s="50">
        <f>IF( OR(ISBLANK(V35:V39),ISBLANK(AT35:AT39), ISBLANK(Z35:Z39),ISBLANK(AX35:AX39)), "·", bdRateExtend( V35:V39,Z35:Z39, AT35:AT39,AX35:AX39))</f>
        <v>-8.7678014741843224E-4</v>
      </c>
      <c r="BN35" s="50">
        <f>IF( OR(ISBLANK(V35:V39),ISBLANK(AT35:AT39), ISBLANK(AA35:AA39),ISBLANK(AY35:AY39)), "·", bdRateExtend( V35:V39,AA35:AA39, AT35:AT39,AY35:AY39))</f>
        <v>1.440555009416089E-3</v>
      </c>
      <c r="BP35" s="50">
        <f>IF( OR(ISBLANK(S35:S39),ISBLANK(AQ35:AQ39), ISBLANK(W35:W39),ISBLANK(AU35:AU39)), "·", bdRateExtend( S35:S39,W35:W39, AQ35:AQ39,AU35:AU39))</f>
        <v>-2.5294343958858212E-3</v>
      </c>
      <c r="BQ35" s="50">
        <f>IF( OR(ISBLANK(S35:S39),ISBLANK(AQ35:AQ39), ISBLANK(X35:X39),ISBLANK(AV35:AV39)), "·", bdRateExtend( S35:S39,X35:X39, AQ35:AQ39,AV35:AV39))</f>
        <v>-2.0650717187646883E-3</v>
      </c>
      <c r="BR35" s="50">
        <f>IF( OR(ISBLANK(S35:S39),ISBLANK(AQ35:AQ39), ISBLANK(Y35:Y39),ISBLANK(AW35:AW39)), "·", bdRateExtend( S35:S39,Y35:Y39, AQ35:AQ39,AW35:AW39))</f>
        <v>-2.449774297200058E-3</v>
      </c>
      <c r="BS35" s="50">
        <f>IF( OR(ISBLANK(S35:S39),ISBLANK(AQ35:AQ39), ISBLANK(Z35:Z39),ISBLANK(AX35:AX39)), "·", bdRateExtend( S35:S39,Z35:Z39, AQ35:AQ39,AX35:AX39))</f>
        <v>-2.758528832205287E-3</v>
      </c>
      <c r="BT35" s="50">
        <f>IF( OR(ISBLANK(S35:S39),ISBLANK(AQ35:AQ39), ISBLANK(AA35:AA39),ISBLANK(AY35:AY39)), "·", bdRateExtend( S35:S39,AA35:AA39, AQ35:AQ39,AY35:AY39))</f>
        <v>-1.2443177919572168E-3</v>
      </c>
      <c r="BV35" s="58">
        <f t="shared" si="16"/>
        <v>-1586</v>
      </c>
      <c r="BW35" s="58">
        <f t="shared" si="16"/>
        <v>-49.5625</v>
      </c>
      <c r="BX35" s="58">
        <f t="shared" si="16"/>
        <v>-1.5625</v>
      </c>
      <c r="BY35" s="58">
        <f t="shared" si="16"/>
        <v>-28432</v>
      </c>
      <c r="BZ35" s="58">
        <f t="shared" si="16"/>
        <v>1704</v>
      </c>
      <c r="CA35" s="58">
        <f t="shared" si="16"/>
        <v>-30272</v>
      </c>
      <c r="CB35" s="58">
        <f t="shared" si="16"/>
        <v>8</v>
      </c>
      <c r="CC35" s="58">
        <f t="shared" si="16"/>
        <v>-5.8700000001010721E-4</v>
      </c>
      <c r="CD35" s="58">
        <f t="shared" si="16"/>
        <v>-6.0000000004833964E-5</v>
      </c>
      <c r="CE35" s="58">
        <f t="shared" si="16"/>
        <v>6.199999999978445E-5</v>
      </c>
      <c r="CF35" s="58">
        <f t="shared" si="16"/>
        <v>1.4590000000040959E-3</v>
      </c>
      <c r="CG35" s="58">
        <f t="shared" si="16"/>
        <v>-1.3759000000000299E-2</v>
      </c>
      <c r="CJ35" t="s">
        <v>244</v>
      </c>
    </row>
    <row r="36" spans="1:88" outlineLevel="1">
      <c r="A36" s="17"/>
      <c r="B36" s="17" t="s">
        <v>82</v>
      </c>
      <c r="C36" s="18" t="s">
        <v>234</v>
      </c>
      <c r="D36" s="17">
        <v>333190689</v>
      </c>
      <c r="E36" s="18">
        <v>11</v>
      </c>
      <c r="F36" s="18">
        <v>32</v>
      </c>
      <c r="G36" s="18">
        <v>30</v>
      </c>
      <c r="I36" s="19">
        <f t="shared" si="0"/>
        <v>9.0721050000000005</v>
      </c>
      <c r="J36" s="20">
        <f t="shared" si="1"/>
        <v>2.9043164528526184E-2</v>
      </c>
      <c r="K36" s="20">
        <f t="shared" si="2"/>
        <v>1.4424772836314163E-2</v>
      </c>
      <c r="L36" s="20">
        <f t="shared" si="3"/>
        <v>9.8057962237954373E-3</v>
      </c>
      <c r="M36" s="20">
        <f t="shared" si="4"/>
        <v>1.4618391692212023E-2</v>
      </c>
      <c r="N36" s="17">
        <f t="shared" si="5"/>
        <v>4806200</v>
      </c>
      <c r="O36" s="20">
        <v>16</v>
      </c>
      <c r="P36" s="21">
        <v>79945808</v>
      </c>
      <c r="Q36" s="21">
        <v>2498306.5</v>
      </c>
      <c r="R36" s="21">
        <v>39523.15625</v>
      </c>
      <c r="S36" s="22">
        <v>9676912</v>
      </c>
      <c r="T36" s="22">
        <v>3267200</v>
      </c>
      <c r="U36" s="22">
        <v>1539000</v>
      </c>
      <c r="V36" s="22">
        <v>4870712</v>
      </c>
      <c r="W36" s="23">
        <v>74.930581000000004</v>
      </c>
      <c r="X36" s="23">
        <v>77.358816000000004</v>
      </c>
      <c r="Y36" s="23">
        <v>36.098925000000001</v>
      </c>
      <c r="Z36" s="23">
        <v>43.168593999999999</v>
      </c>
      <c r="AA36" s="23">
        <v>45.335743999999998</v>
      </c>
      <c r="AB36" s="24">
        <v>3473.88</v>
      </c>
      <c r="AC36" s="24">
        <v>5003.67</v>
      </c>
      <c r="AD36" s="24">
        <v>204.95400000000001</v>
      </c>
      <c r="AE36" s="24">
        <v>67.701999999999998</v>
      </c>
      <c r="AG36" s="19">
        <f t="shared" si="6"/>
        <v>9.0427424999999992</v>
      </c>
      <c r="AH36" s="20">
        <f t="shared" si="7"/>
        <v>2.8949164302727558E-2</v>
      </c>
      <c r="AI36" s="20">
        <f t="shared" si="8"/>
        <v>1.4332765463323016E-2</v>
      </c>
      <c r="AJ36" s="20">
        <f t="shared" si="9"/>
        <v>9.8046677408803583E-3</v>
      </c>
      <c r="AK36" s="20">
        <f t="shared" si="10"/>
        <v>1.4616014675007919E-2</v>
      </c>
      <c r="AL36" s="17">
        <f t="shared" si="11"/>
        <v>4775544</v>
      </c>
      <c r="AM36" s="20">
        <v>16</v>
      </c>
      <c r="AN36" s="21">
        <v>79946286</v>
      </c>
      <c r="AO36" s="21">
        <v>2498321.4375</v>
      </c>
      <c r="AP36" s="21">
        <v>39522.3125</v>
      </c>
      <c r="AQ36" s="22">
        <v>9645592</v>
      </c>
      <c r="AR36" s="22">
        <v>3266824</v>
      </c>
      <c r="AS36" s="22">
        <v>1508720</v>
      </c>
      <c r="AT36" s="22">
        <v>4869920</v>
      </c>
      <c r="AU36" s="23">
        <v>74.930287000000007</v>
      </c>
      <c r="AV36" s="23">
        <v>77.358466000000007</v>
      </c>
      <c r="AW36" s="23">
        <v>36.098784000000002</v>
      </c>
      <c r="AX36" s="23">
        <v>43.166291000000001</v>
      </c>
      <c r="AY36" s="23">
        <v>45.328228000000003</v>
      </c>
      <c r="AZ36" s="24">
        <v>3878.56</v>
      </c>
      <c r="BA36" s="24">
        <v>6356.98</v>
      </c>
      <c r="BB36" s="24">
        <v>245.828</v>
      </c>
      <c r="BC36" s="24">
        <v>94.734999999999999</v>
      </c>
      <c r="BE36" s="49">
        <f t="shared" si="12"/>
        <v>0.993621572135991</v>
      </c>
      <c r="BF36" s="25">
        <f t="shared" si="13"/>
        <v>-4.3231464110643492E-7</v>
      </c>
      <c r="BG36" s="25">
        <f t="shared" si="14"/>
        <v>-1.5655232765060534E-3</v>
      </c>
      <c r="BH36" s="25"/>
      <c r="BJ36" s="49"/>
      <c r="BK36" s="49"/>
      <c r="BL36" s="49"/>
      <c r="BM36" s="49"/>
      <c r="BN36" s="49"/>
      <c r="BP36" s="49"/>
      <c r="BQ36" s="49"/>
      <c r="BR36" s="49"/>
      <c r="BS36" s="49"/>
      <c r="BT36" s="49"/>
      <c r="BV36" s="58">
        <f t="shared" si="16"/>
        <v>478</v>
      </c>
      <c r="BW36" s="58">
        <f t="shared" si="16"/>
        <v>14.9375</v>
      </c>
      <c r="BX36" s="58">
        <f t="shared" si="16"/>
        <v>-0.84375</v>
      </c>
      <c r="BY36" s="58">
        <f t="shared" si="16"/>
        <v>-31320</v>
      </c>
      <c r="BZ36" s="58">
        <f t="shared" si="16"/>
        <v>-376</v>
      </c>
      <c r="CA36" s="58">
        <f t="shared" si="16"/>
        <v>-30280</v>
      </c>
      <c r="CB36" s="58">
        <f t="shared" si="16"/>
        <v>-792</v>
      </c>
      <c r="CC36" s="58">
        <f t="shared" si="16"/>
        <v>-2.939999999966858E-4</v>
      </c>
      <c r="CD36" s="58">
        <f t="shared" si="16"/>
        <v>-3.4999999999740794E-4</v>
      </c>
      <c r="CE36" s="58">
        <f t="shared" si="16"/>
        <v>-1.4099999999928059E-4</v>
      </c>
      <c r="CF36" s="58">
        <f t="shared" si="16"/>
        <v>-2.3029999999977235E-3</v>
      </c>
      <c r="CG36" s="58">
        <f t="shared" si="16"/>
        <v>-7.5159999999954152E-3</v>
      </c>
      <c r="CJ36" t="s">
        <v>244</v>
      </c>
    </row>
    <row r="37" spans="1:88" outlineLevel="1">
      <c r="A37" s="52"/>
      <c r="B37" s="52" t="s">
        <v>82</v>
      </c>
      <c r="C37" s="9" t="s">
        <v>235</v>
      </c>
      <c r="D37" s="52">
        <v>333190689</v>
      </c>
      <c r="E37" s="9">
        <v>11</v>
      </c>
      <c r="F37" s="9">
        <v>32</v>
      </c>
      <c r="G37" s="9">
        <v>30</v>
      </c>
      <c r="I37" s="10">
        <f t="shared" si="0"/>
        <v>13.780492499999999</v>
      </c>
      <c r="J37" s="11">
        <f t="shared" si="1"/>
        <v>4.411645488688911E-2</v>
      </c>
      <c r="K37" s="11">
        <f t="shared" si="2"/>
        <v>1.8223870595615595E-2</v>
      </c>
      <c r="L37" s="11">
        <f t="shared" si="3"/>
        <v>1.3604893983096869E-2</v>
      </c>
      <c r="M37" s="11">
        <f t="shared" si="4"/>
        <v>2.5892584291273519E-2</v>
      </c>
      <c r="N37" s="52">
        <f t="shared" si="5"/>
        <v>6072024</v>
      </c>
      <c r="O37" s="11">
        <v>16</v>
      </c>
      <c r="P37" s="12">
        <v>81780101</v>
      </c>
      <c r="Q37" s="12">
        <v>2555628.15625</v>
      </c>
      <c r="R37" s="12">
        <v>43014.71875</v>
      </c>
      <c r="S37" s="13">
        <v>14699192</v>
      </c>
      <c r="T37" s="13">
        <v>4533024</v>
      </c>
      <c r="U37" s="13">
        <v>1539000</v>
      </c>
      <c r="V37" s="13">
        <v>8627168</v>
      </c>
      <c r="W37" s="14">
        <v>76.238812999999993</v>
      </c>
      <c r="X37" s="14">
        <v>78.941209000000001</v>
      </c>
      <c r="Y37" s="14">
        <v>37.928058999999998</v>
      </c>
      <c r="Z37" s="14">
        <v>43.745263000000001</v>
      </c>
      <c r="AA37" s="14">
        <v>46.492668999999999</v>
      </c>
      <c r="AB37" s="15">
        <v>3541.6</v>
      </c>
      <c r="AC37" s="15">
        <v>4886.43</v>
      </c>
      <c r="AD37" s="15">
        <v>228.78299999999999</v>
      </c>
      <c r="AE37" s="15">
        <v>75.295000000000002</v>
      </c>
      <c r="AG37" s="10">
        <f t="shared" si="6"/>
        <v>13.749105</v>
      </c>
      <c r="AH37" s="11">
        <f t="shared" si="7"/>
        <v>4.4015971886897473E-2</v>
      </c>
      <c r="AI37" s="11">
        <f t="shared" si="8"/>
        <v>1.812890995882541E-2</v>
      </c>
      <c r="AJ37" s="11">
        <f t="shared" si="9"/>
        <v>1.3600788226107963E-2</v>
      </c>
      <c r="AK37" s="11">
        <f t="shared" si="10"/>
        <v>2.5886677763675443E-2</v>
      </c>
      <c r="AL37" s="52">
        <f t="shared" si="11"/>
        <v>6040384</v>
      </c>
      <c r="AM37" s="11">
        <v>16</v>
      </c>
      <c r="AN37" s="12">
        <v>81792322</v>
      </c>
      <c r="AO37" s="12">
        <v>2556010.0625</v>
      </c>
      <c r="AP37" s="12">
        <v>43038.75</v>
      </c>
      <c r="AQ37" s="13">
        <v>14665712</v>
      </c>
      <c r="AR37" s="13">
        <v>4531656</v>
      </c>
      <c r="AS37" s="13">
        <v>1508728</v>
      </c>
      <c r="AT37" s="13">
        <v>8625200</v>
      </c>
      <c r="AU37" s="14">
        <v>76.239324999999994</v>
      </c>
      <c r="AV37" s="14">
        <v>78.939712</v>
      </c>
      <c r="AW37" s="14">
        <v>37.928443999999999</v>
      </c>
      <c r="AX37" s="14">
        <v>43.743958999999997</v>
      </c>
      <c r="AY37" s="14">
        <v>46.485805999999997</v>
      </c>
      <c r="AZ37" s="15">
        <v>3921.99</v>
      </c>
      <c r="BA37" s="15">
        <v>6680.51</v>
      </c>
      <c r="BB37" s="15">
        <v>256.21800000000002</v>
      </c>
      <c r="BC37" s="15">
        <v>94.234999999999999</v>
      </c>
      <c r="BE37" s="50">
        <f t="shared" si="12"/>
        <v>0.99478921690691602</v>
      </c>
      <c r="BF37" s="16">
        <f t="shared" si="13"/>
        <v>6.8870015444387478E-6</v>
      </c>
      <c r="BG37" s="16">
        <f t="shared" si="14"/>
        <v>-1.2143900928582863E-3</v>
      </c>
      <c r="BH37" s="16"/>
      <c r="BJ37" s="50"/>
      <c r="BK37" s="50"/>
      <c r="BL37" s="50"/>
      <c r="BM37" s="50"/>
      <c r="BN37" s="50"/>
      <c r="BP37" s="50"/>
      <c r="BQ37" s="50"/>
      <c r="BR37" s="50"/>
      <c r="BS37" s="50"/>
      <c r="BT37" s="50"/>
      <c r="BV37" s="58">
        <f t="shared" si="16"/>
        <v>12221</v>
      </c>
      <c r="BW37" s="58">
        <f t="shared" si="16"/>
        <v>381.90625</v>
      </c>
      <c r="BX37" s="58">
        <f t="shared" si="16"/>
        <v>24.03125</v>
      </c>
      <c r="BY37" s="58">
        <f t="shared" si="16"/>
        <v>-33480</v>
      </c>
      <c r="BZ37" s="58">
        <f t="shared" si="16"/>
        <v>-1368</v>
      </c>
      <c r="CA37" s="58">
        <f t="shared" si="16"/>
        <v>-30272</v>
      </c>
      <c r="CB37" s="58">
        <f t="shared" si="16"/>
        <v>-1968</v>
      </c>
      <c r="CC37" s="58">
        <f t="shared" si="16"/>
        <v>5.1200000000051205E-4</v>
      </c>
      <c r="CD37" s="58">
        <f t="shared" si="16"/>
        <v>-1.4970000000005257E-3</v>
      </c>
      <c r="CE37" s="58">
        <f t="shared" si="16"/>
        <v>3.8500000000141199E-4</v>
      </c>
      <c r="CF37" s="58">
        <f t="shared" si="16"/>
        <v>-1.3040000000046348E-3</v>
      </c>
      <c r="CG37" s="58">
        <f t="shared" si="16"/>
        <v>-6.863000000002728E-3</v>
      </c>
      <c r="CJ37" t="s">
        <v>244</v>
      </c>
    </row>
    <row r="38" spans="1:88" outlineLevel="1">
      <c r="A38" s="17"/>
      <c r="B38" s="17" t="s">
        <v>82</v>
      </c>
      <c r="C38" s="18" t="s">
        <v>236</v>
      </c>
      <c r="D38" s="17">
        <v>333190689</v>
      </c>
      <c r="E38" s="18">
        <v>11</v>
      </c>
      <c r="F38" s="18">
        <v>32</v>
      </c>
      <c r="G38" s="18">
        <v>30</v>
      </c>
      <c r="I38" s="19">
        <f t="shared" si="0"/>
        <v>23.020612499999999</v>
      </c>
      <c r="J38" s="20">
        <f t="shared" si="1"/>
        <v>7.3697497591236713E-2</v>
      </c>
      <c r="K38" s="20">
        <f t="shared" si="2"/>
        <v>2.4418401439783331E-2</v>
      </c>
      <c r="L38" s="20">
        <f t="shared" si="3"/>
        <v>1.9799424827264607E-2</v>
      </c>
      <c r="M38" s="20">
        <f t="shared" si="4"/>
        <v>4.9279096151453379E-2</v>
      </c>
      <c r="N38" s="17">
        <f t="shared" si="5"/>
        <v>8135984</v>
      </c>
      <c r="O38" s="20">
        <v>16</v>
      </c>
      <c r="P38" s="21">
        <v>83963908</v>
      </c>
      <c r="Q38" s="21">
        <v>2623872.125</v>
      </c>
      <c r="R38" s="21">
        <v>48278.125</v>
      </c>
      <c r="S38" s="22">
        <v>24555320</v>
      </c>
      <c r="T38" s="22">
        <v>6596984</v>
      </c>
      <c r="U38" s="22">
        <v>1539000</v>
      </c>
      <c r="V38" s="22">
        <v>16419336</v>
      </c>
      <c r="W38" s="23">
        <v>77.418415999999993</v>
      </c>
      <c r="X38" s="23">
        <v>80.140518999999998</v>
      </c>
      <c r="Y38" s="23">
        <v>39.696711999999998</v>
      </c>
      <c r="Z38" s="23">
        <v>44.531153000000003</v>
      </c>
      <c r="AA38" s="23">
        <v>47.804797000000001</v>
      </c>
      <c r="AB38" s="24">
        <v>3475.08</v>
      </c>
      <c r="AC38" s="24">
        <v>5249.89</v>
      </c>
      <c r="AD38" s="24">
        <v>227.07499999999999</v>
      </c>
      <c r="AE38" s="24">
        <v>74.290999999999997</v>
      </c>
      <c r="AG38" s="19">
        <f t="shared" si="6"/>
        <v>22.982745000000001</v>
      </c>
      <c r="AH38" s="20">
        <f t="shared" si="7"/>
        <v>7.3576269713827441E-2</v>
      </c>
      <c r="AI38" s="20">
        <f t="shared" si="8"/>
        <v>2.4324641316732593E-2</v>
      </c>
      <c r="AJ38" s="20">
        <f t="shared" si="9"/>
        <v>1.9796543594289936E-2</v>
      </c>
      <c r="AK38" s="20">
        <f t="shared" si="10"/>
        <v>4.9251244232698228E-2</v>
      </c>
      <c r="AL38" s="17">
        <f t="shared" si="11"/>
        <v>8104744</v>
      </c>
      <c r="AM38" s="20">
        <v>16</v>
      </c>
      <c r="AN38" s="21">
        <v>83959925</v>
      </c>
      <c r="AO38" s="21">
        <v>2623747.65625</v>
      </c>
      <c r="AP38" s="21">
        <v>48264.4375</v>
      </c>
      <c r="AQ38" s="22">
        <v>24514928</v>
      </c>
      <c r="AR38" s="22">
        <v>6596024</v>
      </c>
      <c r="AS38" s="22">
        <v>1508720</v>
      </c>
      <c r="AT38" s="22">
        <v>16410056</v>
      </c>
      <c r="AU38" s="23">
        <v>77.417544000000007</v>
      </c>
      <c r="AV38" s="23">
        <v>80.138569000000004</v>
      </c>
      <c r="AW38" s="23">
        <v>39.695534000000002</v>
      </c>
      <c r="AX38" s="23">
        <v>44.535812999999997</v>
      </c>
      <c r="AY38" s="23">
        <v>47.808450000000001</v>
      </c>
      <c r="AZ38" s="24">
        <v>4159.88</v>
      </c>
      <c r="BA38" s="24">
        <v>7349.02</v>
      </c>
      <c r="BB38" s="24">
        <v>265.33199999999999</v>
      </c>
      <c r="BC38" s="24">
        <v>97.64</v>
      </c>
      <c r="BE38" s="49">
        <f t="shared" si="12"/>
        <v>0.99616026776847155</v>
      </c>
      <c r="BF38" s="25">
        <f t="shared" si="13"/>
        <v>-4.3439117332656763E-6</v>
      </c>
      <c r="BG38" s="25">
        <f t="shared" si="14"/>
        <v>-7.2840531218903992E-4</v>
      </c>
      <c r="BH38" s="25"/>
      <c r="BJ38" s="49"/>
      <c r="BK38" s="49"/>
      <c r="BL38" s="49"/>
      <c r="BM38" s="49"/>
      <c r="BN38" s="49"/>
      <c r="BP38" s="49"/>
      <c r="BQ38" s="49"/>
      <c r="BR38" s="49"/>
      <c r="BS38" s="49"/>
      <c r="BT38" s="49"/>
      <c r="BV38" s="58">
        <f t="shared" si="16"/>
        <v>-3983</v>
      </c>
      <c r="BW38" s="58">
        <f t="shared" si="16"/>
        <v>-124.46875</v>
      </c>
      <c r="BX38" s="58">
        <f t="shared" si="16"/>
        <v>-13.6875</v>
      </c>
      <c r="BY38" s="58">
        <f t="shared" si="16"/>
        <v>-40392</v>
      </c>
      <c r="BZ38" s="58">
        <f t="shared" si="16"/>
        <v>-960</v>
      </c>
      <c r="CA38" s="58">
        <f t="shared" si="16"/>
        <v>-30280</v>
      </c>
      <c r="CB38" s="58">
        <f t="shared" si="16"/>
        <v>-9280</v>
      </c>
      <c r="CC38" s="58">
        <f t="shared" si="16"/>
        <v>-8.7199999998688327E-4</v>
      </c>
      <c r="CD38" s="58">
        <f t="shared" si="16"/>
        <v>-1.949999999993679E-3</v>
      </c>
      <c r="CE38" s="58">
        <f t="shared" si="16"/>
        <v>-1.1779999999959045E-3</v>
      </c>
      <c r="CF38" s="58">
        <f t="shared" si="16"/>
        <v>4.6599999999941133E-3</v>
      </c>
      <c r="CG38" s="58">
        <f t="shared" si="16"/>
        <v>3.6529999999999063E-3</v>
      </c>
      <c r="CJ38" t="s">
        <v>244</v>
      </c>
    </row>
    <row r="39" spans="1:88" ht="16" outlineLevel="1" thickBot="1">
      <c r="A39" s="26"/>
      <c r="B39" s="26" t="s">
        <v>82</v>
      </c>
      <c r="C39" s="27" t="s">
        <v>237</v>
      </c>
      <c r="D39" s="26">
        <v>333190689</v>
      </c>
      <c r="E39" s="27">
        <v>11</v>
      </c>
      <c r="F39" s="27">
        <v>32</v>
      </c>
      <c r="G39" s="27">
        <v>30</v>
      </c>
      <c r="I39" s="28">
        <f t="shared" si="0"/>
        <v>42.391522500000001</v>
      </c>
      <c r="J39" s="29">
        <f t="shared" si="1"/>
        <v>0.13571094719276505</v>
      </c>
      <c r="K39" s="29">
        <f t="shared" si="2"/>
        <v>3.9490059099460607E-2</v>
      </c>
      <c r="L39" s="29">
        <f t="shared" si="3"/>
        <v>3.0117168130109423E-2</v>
      </c>
      <c r="M39" s="29">
        <f t="shared" si="4"/>
        <v>9.6220888093304438E-2</v>
      </c>
      <c r="N39" s="26">
        <f t="shared" si="5"/>
        <v>13157720</v>
      </c>
      <c r="O39" s="29">
        <v>16</v>
      </c>
      <c r="P39" s="30">
        <v>82025858</v>
      </c>
      <c r="Q39" s="30">
        <v>2563308.0625</v>
      </c>
      <c r="R39" s="30">
        <v>19366.5625</v>
      </c>
      <c r="S39" s="31">
        <v>45217624</v>
      </c>
      <c r="T39" s="31">
        <v>10034760</v>
      </c>
      <c r="U39" s="31">
        <v>3122960</v>
      </c>
      <c r="V39" s="31">
        <v>32059904</v>
      </c>
      <c r="W39" s="32">
        <v>78.318230999999997</v>
      </c>
      <c r="X39" s="32">
        <v>81.877509000000003</v>
      </c>
      <c r="Y39" s="32">
        <v>41.297905999999998</v>
      </c>
      <c r="Z39" s="32">
        <v>45.537005999999998</v>
      </c>
      <c r="AA39" s="32">
        <v>49.137197</v>
      </c>
      <c r="AB39" s="33">
        <v>3873.53</v>
      </c>
      <c r="AC39" s="33">
        <v>7507.14</v>
      </c>
      <c r="AD39" s="33">
        <v>243.928</v>
      </c>
      <c r="AE39" s="33">
        <v>110.042</v>
      </c>
      <c r="AG39" s="28">
        <f t="shared" si="6"/>
        <v>42.359400000000001</v>
      </c>
      <c r="AH39" s="29">
        <f t="shared" si="7"/>
        <v>0.13560811118584409</v>
      </c>
      <c r="AI39" s="29">
        <f t="shared" si="8"/>
        <v>3.9396947253829175E-2</v>
      </c>
      <c r="AJ39" s="29">
        <f t="shared" si="9"/>
        <v>3.0114935174554054E-2</v>
      </c>
      <c r="AK39" s="29">
        <f t="shared" si="10"/>
        <v>9.6210779767618299E-2</v>
      </c>
      <c r="AL39" s="26">
        <f t="shared" si="11"/>
        <v>13126696</v>
      </c>
      <c r="AM39" s="29">
        <v>16</v>
      </c>
      <c r="AN39" s="30">
        <v>82033242</v>
      </c>
      <c r="AO39" s="30">
        <v>2563538.8125</v>
      </c>
      <c r="AP39" s="30">
        <v>19387.28125</v>
      </c>
      <c r="AQ39" s="31">
        <v>45183360</v>
      </c>
      <c r="AR39" s="31">
        <v>10034016</v>
      </c>
      <c r="AS39" s="31">
        <v>3092680</v>
      </c>
      <c r="AT39" s="31">
        <v>32056536</v>
      </c>
      <c r="AU39" s="32">
        <v>78.318087000000006</v>
      </c>
      <c r="AV39" s="32">
        <v>81.875005999999999</v>
      </c>
      <c r="AW39" s="32">
        <v>41.298865999999997</v>
      </c>
      <c r="AX39" s="32">
        <v>45.536081000000003</v>
      </c>
      <c r="AY39" s="32">
        <v>49.135843999999999</v>
      </c>
      <c r="AZ39" s="33">
        <v>3244.99</v>
      </c>
      <c r="BA39" s="33">
        <v>5567.44</v>
      </c>
      <c r="BB39" s="33">
        <v>225.27</v>
      </c>
      <c r="BC39" s="33">
        <v>79.828999999999994</v>
      </c>
      <c r="BE39" s="34">
        <f t="shared" si="12"/>
        <v>0.99764214468768153</v>
      </c>
      <c r="BF39" s="35">
        <f t="shared" si="13"/>
        <v>7.4020195574443087E-6</v>
      </c>
      <c r="BG39" s="35">
        <f t="shared" si="14"/>
        <v>-4.6595997197140804E-4</v>
      </c>
      <c r="BH39" s="35"/>
      <c r="BJ39" s="34"/>
      <c r="BK39" s="34"/>
      <c r="BL39" s="34"/>
      <c r="BM39" s="34"/>
      <c r="BN39" s="34"/>
      <c r="BP39" s="34"/>
      <c r="BQ39" s="34"/>
      <c r="BR39" s="34"/>
      <c r="BS39" s="34"/>
      <c r="BT39" s="34"/>
      <c r="BV39" s="58">
        <f t="shared" si="16"/>
        <v>7384</v>
      </c>
      <c r="BW39" s="58">
        <f t="shared" si="16"/>
        <v>230.75</v>
      </c>
      <c r="BX39" s="58">
        <f t="shared" si="16"/>
        <v>20.71875</v>
      </c>
      <c r="BY39" s="58">
        <f t="shared" si="16"/>
        <v>-34264</v>
      </c>
      <c r="BZ39" s="58">
        <f t="shared" si="16"/>
        <v>-744</v>
      </c>
      <c r="CA39" s="58">
        <f t="shared" si="16"/>
        <v>-30280</v>
      </c>
      <c r="CB39" s="58">
        <f t="shared" si="16"/>
        <v>-3368</v>
      </c>
      <c r="CC39" s="58">
        <f t="shared" si="16"/>
        <v>-1.4399999999170632E-4</v>
      </c>
      <c r="CD39" s="58">
        <f t="shared" si="16"/>
        <v>-2.5030000000043628E-3</v>
      </c>
      <c r="CE39" s="58">
        <f t="shared" si="16"/>
        <v>9.5999999999918373E-4</v>
      </c>
      <c r="CF39" s="58">
        <f t="shared" si="16"/>
        <v>-9.2499999999517968E-4</v>
      </c>
      <c r="CG39" s="58">
        <f t="shared" si="16"/>
        <v>-1.3530000000017139E-3</v>
      </c>
      <c r="CJ39" t="s">
        <v>244</v>
      </c>
    </row>
    <row r="40" spans="1:88" ht="16">
      <c r="B40" s="46" t="s">
        <v>16</v>
      </c>
      <c r="J40" s="47">
        <f>AVERAGE(J5:J24)</f>
        <v>4.4297813858881062E-2</v>
      </c>
      <c r="K40" s="47">
        <f>AVERAGE(K5:K24)</f>
        <v>1.3934320314145566E-2</v>
      </c>
      <c r="L40" s="47">
        <f>AVERAGE(L5:L24)</f>
        <v>9.696269410246797E-3</v>
      </c>
      <c r="M40" s="47">
        <f>AVERAGE(M5:M24)</f>
        <v>3.0363493544735498E-2</v>
      </c>
      <c r="AH40" s="47">
        <f>AVERAGE(AH5:AH24)</f>
        <v>4.4088648331768371E-2</v>
      </c>
      <c r="AI40" s="47">
        <f>AVERAGE(AI5:AI24)</f>
        <v>1.3809131502128095E-2</v>
      </c>
      <c r="AJ40" s="47">
        <f>AVERAGE(AJ5:AJ24)</f>
        <v>9.6735055774282083E-3</v>
      </c>
      <c r="AK40" s="47">
        <f>AVERAGE(AK5:AK24)</f>
        <v>3.0279008861833524E-2</v>
      </c>
      <c r="BE40" s="51">
        <f t="shared" si="12"/>
        <v>0.99101579343698709</v>
      </c>
      <c r="BH40" s="55">
        <f>AVERAGE(BH5:BH24)</f>
        <v>-2.0270593047856805E-3</v>
      </c>
      <c r="BJ40" s="51">
        <f>AVERAGE(BJ5:BJ24)</f>
        <v>2.2805451345538491E-2</v>
      </c>
      <c r="BK40" s="51">
        <f>AVERAGE(BK5:BK24)</f>
        <v>-6.2843990057192545E-3</v>
      </c>
      <c r="BL40" s="51">
        <f>AVERAGE(BL5:BL24)</f>
        <v>5.0324679498513769E-3</v>
      </c>
      <c r="BM40" s="51">
        <f>AVERAGE(BM5:BM24)</f>
        <v>-6.609747847450359E-3</v>
      </c>
      <c r="BN40" s="51">
        <f>AVERAGE(BN5:BN24)</f>
        <v>-8.2031673004039074E-3</v>
      </c>
      <c r="BP40" s="51">
        <f>AVERAGE(BP5:BP24)</f>
        <v>6.3127893409212849E-2</v>
      </c>
      <c r="BQ40" s="51">
        <f>AVERAGE(BQ5:BQ24)</f>
        <v>-1.931695375025716E-3</v>
      </c>
      <c r="BR40" s="51">
        <f>AVERAGE(BR5:BR24)</f>
        <v>8.5146040114925103E-4</v>
      </c>
      <c r="BS40" s="51">
        <f>AVERAGE(BS5:BS24)</f>
        <v>-8.8616248890333871E-3</v>
      </c>
      <c r="BT40" s="51">
        <f>AVERAGE(BT5:BT24)</f>
        <v>-1.0348595590696286E-2</v>
      </c>
    </row>
    <row r="41" spans="1:88" ht="16">
      <c r="B41" s="46" t="s">
        <v>17</v>
      </c>
      <c r="J41" s="47">
        <f>AVERAGE(J25:J29)</f>
        <v>7.9954906894468852E-2</v>
      </c>
      <c r="K41" s="47">
        <f>AVERAGE(K25:K29)</f>
        <v>1.2464595817739278E-2</v>
      </c>
      <c r="L41" s="47">
        <f>AVERAGE(L25:L29)</f>
        <v>9.1151281892310389E-3</v>
      </c>
      <c r="M41" s="47">
        <f>AVERAGE(M25:M29)</f>
        <v>6.7490311076729578E-2</v>
      </c>
      <c r="AH41" s="47">
        <f>AVERAGE(AH25:AH29)</f>
        <v>7.9856341436907341E-2</v>
      </c>
      <c r="AI41" s="47">
        <f>AVERAGE(AI25:AI29)</f>
        <v>1.2365787446409846E-2</v>
      </c>
      <c r="AJ41" s="47">
        <f>AVERAGE(AJ25:AJ29)</f>
        <v>9.1152432536474159E-3</v>
      </c>
      <c r="AK41" s="47">
        <f>AVERAGE(AK25:AK29)</f>
        <v>6.7490042593091368E-2</v>
      </c>
      <c r="BE41" s="51">
        <f t="shared" si="12"/>
        <v>0.99207287803196875</v>
      </c>
      <c r="BH41" s="55">
        <f>AVERAGE(BH25:BH29)</f>
        <v>-1.7117470369676369E-3</v>
      </c>
      <c r="BJ41" s="51">
        <f>AVERAGE(BJ25:BJ29)</f>
        <v>-1.0565718238762067E-2</v>
      </c>
      <c r="BK41" s="51">
        <f>AVERAGE(BK25:BK29)</f>
        <v>-9.7505269503266323E-3</v>
      </c>
      <c r="BL41" s="51">
        <f>AVERAGE(BL25:BL29)</f>
        <v>4.151407593533385E-5</v>
      </c>
      <c r="BM41" s="51">
        <f>AVERAGE(BM25:BM29)</f>
        <v>9.196909945139442E-4</v>
      </c>
      <c r="BN41" s="51">
        <f>AVERAGE(BN25:BN29)</f>
        <v>7.7576210766561182E-4</v>
      </c>
      <c r="BP41" s="51">
        <f>AVERAGE(BP25:BP29)</f>
        <v>-2.708600684439233E-3</v>
      </c>
      <c r="BQ41" s="51">
        <f>AVERAGE(BQ25:BQ29)</f>
        <v>-2.3673731580140522E-3</v>
      </c>
      <c r="BR41" s="51">
        <f>AVERAGE(BR25:BR29)</f>
        <v>-2.041798923647975E-3</v>
      </c>
      <c r="BS41" s="51">
        <f>AVERAGE(BS25:BS29)</f>
        <v>-1.0129150865314518E-3</v>
      </c>
      <c r="BT41" s="51">
        <f>AVERAGE(BT25:BT29)</f>
        <v>-1.2377549279708466E-3</v>
      </c>
    </row>
    <row r="42" spans="1:88" ht="16">
      <c r="B42" s="46" t="s">
        <v>18</v>
      </c>
      <c r="J42" s="47">
        <f>AVERAGE(J30:J39)</f>
        <v>5.517762733011794E-2</v>
      </c>
      <c r="K42" s="47">
        <f>AVERAGE(K30:K39)</f>
        <v>2.0098335575239341E-2</v>
      </c>
      <c r="L42" s="47">
        <f>AVERAGE(L30:L39)</f>
        <v>1.5038954141750719E-2</v>
      </c>
      <c r="M42" s="47">
        <f>AVERAGE(M30:M39)</f>
        <v>3.5079291754878603E-2</v>
      </c>
      <c r="AH42" s="47">
        <f>AVERAGE(AH30:AH39)</f>
        <v>5.5089321558787117E-2</v>
      </c>
      <c r="AI42" s="47">
        <f>AVERAGE(AI30:AI39)</f>
        <v>2.0015416488192432E-2</v>
      </c>
      <c r="AJ42" s="47">
        <f>AVERAGE(AJ30:AJ39)</f>
        <v>1.5036519271521873E-2</v>
      </c>
      <c r="AK42" s="47">
        <f>AVERAGE(AK30:AK39)</f>
        <v>3.5073542513815469E-2</v>
      </c>
      <c r="BE42" s="51">
        <f t="shared" si="12"/>
        <v>0.99587433065108821</v>
      </c>
      <c r="BH42" s="55">
        <f>AVERAGE(BH30:BH39)</f>
        <v>-1.1555159551421834E-3</v>
      </c>
      <c r="BJ42" s="51">
        <f>AVERAGE(BJ30:BJ39)</f>
        <v>-5.1333016784892993E-3</v>
      </c>
      <c r="BK42" s="51">
        <f>AVERAGE(BK30:BK39)</f>
        <v>-4.6483353012365392E-3</v>
      </c>
      <c r="BL42" s="51">
        <f>AVERAGE(BL30:BL39)</f>
        <v>5.3832828737443439E-5</v>
      </c>
      <c r="BM42" s="51">
        <f>AVERAGE(BM30:BM39)</f>
        <v>-2.4277078779649797E-4</v>
      </c>
      <c r="BN42" s="51">
        <f>AVERAGE(BN30:BN39)</f>
        <v>2.2436556347761316E-3</v>
      </c>
      <c r="BP42" s="51">
        <f>AVERAGE(BP30:BP39)</f>
        <v>-2.4049044994709501E-3</v>
      </c>
      <c r="BQ42" s="51">
        <f>AVERAGE(BQ30:BQ39)</f>
        <v>-1.8755176587272326E-3</v>
      </c>
      <c r="BR42" s="51">
        <f>AVERAGE(BR30:BR39)</f>
        <v>-2.2943734895017887E-3</v>
      </c>
      <c r="BS42" s="51">
        <f>AVERAGE(BS30:BS39)</f>
        <v>-2.1477574044141967E-3</v>
      </c>
      <c r="BT42" s="51">
        <f>AVERAGE(BT30:BT39)</f>
        <v>-7.9536435980420706E-4</v>
      </c>
    </row>
    <row r="43" spans="1:88" ht="16">
      <c r="B43" s="46" t="s">
        <v>19</v>
      </c>
      <c r="J43" s="47">
        <f>AVERAGE(J5:J39)</f>
        <v>5.2500202427175569E-2</v>
      </c>
      <c r="K43" s="47">
        <f>AVERAGE(K5:K39)</f>
        <v>1.5485506889257174E-2</v>
      </c>
      <c r="L43" s="47">
        <f>AVERAGE(L5:L39)</f>
        <v>1.1139730587674238E-2</v>
      </c>
      <c r="M43" s="47">
        <f>AVERAGE(M5:M39)</f>
        <v>3.7014695537918391E-2</v>
      </c>
      <c r="AH43" s="47">
        <f>AVERAGE(AH5:AH39)</f>
        <v>5.2341368268793563E-2</v>
      </c>
      <c r="AI43" s="47">
        <f>AVERAGE(AI5:AI39)</f>
        <v>1.5376163775901012E-2</v>
      </c>
      <c r="AJ43" s="47">
        <f>AVERAGE(AJ5:AJ39)</f>
        <v>1.1126043443771999E-2</v>
      </c>
      <c r="AK43" s="47">
        <f>AVERAGE(AK5:AK39)</f>
        <v>3.6964737581150924E-2</v>
      </c>
      <c r="BE43" s="51">
        <f t="shared" si="12"/>
        <v>0.99293900327976881</v>
      </c>
      <c r="BH43" s="55">
        <f>AVERAGE(BH5:BH39)</f>
        <v>-1.7330023094849609E-3</v>
      </c>
      <c r="BJ43" s="51">
        <f>AVERAGE(BJ5:BJ39)</f>
        <v>1.0055640540916186E-2</v>
      </c>
      <c r="BK43" s="51">
        <f>AVERAGE(BK5:BK39)</f>
        <v>-6.3121133679538187E-3</v>
      </c>
      <c r="BL43" s="51">
        <f>AVERAGE(BL5:BL39)</f>
        <v>2.8970073618308184E-3</v>
      </c>
      <c r="BM43" s="51">
        <f>AVERAGE(BM5:BM39)</f>
        <v>-3.7149774244114981E-3</v>
      </c>
      <c r="BN43" s="51">
        <f>AVERAGE(BN5:BN39)</f>
        <v>-3.9356565463425364E-3</v>
      </c>
      <c r="BP43" s="51">
        <f>AVERAGE(BP5:BP39)</f>
        <v>3.4999023421924326E-2</v>
      </c>
      <c r="BQ43" s="51">
        <f>AVERAGE(BQ5:BQ39)</f>
        <v>-1.977884282224483E-3</v>
      </c>
      <c r="BR43" s="51">
        <f>AVERAGE(BR5:BR39)</f>
        <v>-4.6067204257922115E-4</v>
      </c>
      <c r="BS43" s="51">
        <f>AVERAGE(BS5:BS39)</f>
        <v>-5.8221327787847709E-3</v>
      </c>
      <c r="BT43" s="51">
        <f>AVERAGE(BT5:BT39)</f>
        <v>-6.3175522871949151E-3</v>
      </c>
    </row>
    <row r="44" spans="1:88" ht="16" hidden="1" outlineLevel="2">
      <c r="A44" s="46" t="s">
        <v>245</v>
      </c>
      <c r="B44" s="46" t="s">
        <v>246</v>
      </c>
      <c r="AB44" s="48">
        <f>SUM(AB5:AB24,AB25:AB29,AB30:AB39)</f>
        <v>131766.84000000003</v>
      </c>
      <c r="AC44" s="48">
        <f>SUM(AC5:AC24,AC25:AC29,AC30:AC39)</f>
        <v>79714.382999999987</v>
      </c>
      <c r="AD44" s="48">
        <f>SUM(AD5:AD24,AD25:AD29,AD30:AD39)</f>
        <v>4074.9609999999989</v>
      </c>
      <c r="AE44" s="48">
        <f>SUM(AE5:AE24,AE25:AE29,AE30:AE39)</f>
        <v>1146.5519999999999</v>
      </c>
      <c r="AZ44" s="48">
        <f>SUM(AZ5:AZ24,AZ25:AZ29,AZ30:AZ39)</f>
        <v>131543.96999999997</v>
      </c>
      <c r="BA44" s="48">
        <f>SUM(BA5:BA24,BA25:BA29,BA30:BA39)</f>
        <v>85198.468000000008</v>
      </c>
      <c r="BB44" s="48">
        <f>SUM(BB5:BB24,BB25:BB29,BB30:BB39)</f>
        <v>4286.0170000000007</v>
      </c>
      <c r="BC44" s="48">
        <f>SUM(BC5:BC24,BC25:BC29,BC30:BC39)</f>
        <v>1220.5970000000002</v>
      </c>
    </row>
    <row r="45" spans="1:88" ht="16" hidden="1" outlineLevel="2">
      <c r="B45" s="46" t="s">
        <v>247</v>
      </c>
      <c r="AZ45" s="55">
        <f>AZ44/AB44</f>
        <v>0.99830860328744275</v>
      </c>
      <c r="BA45" s="55">
        <f>BA44/AC44</f>
        <v>1.068796681271434</v>
      </c>
      <c r="BB45" s="55">
        <f>BB44/AD44</f>
        <v>1.051793379126819</v>
      </c>
      <c r="BC45" s="55">
        <f>BC44/AE44</f>
        <v>1.0645805859655735</v>
      </c>
    </row>
    <row r="46" spans="1:88" ht="16" hidden="1" outlineLevel="2">
      <c r="B46" s="46" t="s">
        <v>248</v>
      </c>
      <c r="AB46" s="48">
        <f>GEOMEAN(AB5:AB24,AB25:AB29,AB30:AB39)</f>
        <v>3564.4494943737118</v>
      </c>
      <c r="AC46" s="48">
        <f>GEOMEAN(AC5:AC24,AC25:AC29,AC30:AC39)</f>
        <v>1870.7600014454886</v>
      </c>
      <c r="AD46" s="48">
        <f>GEOMEAN(AD5:AD24,AD25:AD29,AD30:AD39)</f>
        <v>97.566352872757079</v>
      </c>
      <c r="AE46" s="48">
        <f>GEOMEAN(AE5:AE24,AE25:AE29,AE30:AE39)</f>
        <v>26.752910588983756</v>
      </c>
      <c r="AZ46" s="48">
        <f>GEOMEAN(AZ5:AZ24,AZ25:AZ29,AZ30:AZ39)</f>
        <v>3551.1340289327422</v>
      </c>
      <c r="BA46" s="48">
        <f>GEOMEAN(BA5:BA24,BA25:BA29,BA30:BA39)</f>
        <v>1897.0781796259114</v>
      </c>
      <c r="BB46" s="48">
        <f>GEOMEAN(BB5:BB24,BB25:BB29,BB30:BB39)</f>
        <v>100.26776390431611</v>
      </c>
      <c r="BC46" s="48">
        <f>GEOMEAN(BC5:BC24,BC25:BC29,BC30:BC39)</f>
        <v>27.212510208417225</v>
      </c>
    </row>
    <row r="47" spans="1:88" ht="16" outlineLevel="2" collapsed="1">
      <c r="B47" s="46" t="s">
        <v>249</v>
      </c>
      <c r="AZ47" s="55">
        <f>AZ46/AB46</f>
        <v>0.99626436972610011</v>
      </c>
      <c r="BA47" s="55">
        <f>BA46/AC46</f>
        <v>1.0140681745173552</v>
      </c>
      <c r="BB47" s="55">
        <f>BB46/AD46</f>
        <v>1.0276879369989582</v>
      </c>
      <c r="BC47" s="55">
        <f>BC46/AE46</f>
        <v>1.0171794249416257</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sheetData>
    <row r="1" spans="1:2">
      <c r="A1" t="s">
        <v>250</v>
      </c>
      <c r="B1">
        <v>1</v>
      </c>
    </row>
    <row r="2" spans="1:2">
      <c r="A2" t="s">
        <v>251</v>
      </c>
      <c r="B2">
        <v>2</v>
      </c>
    </row>
    <row r="3" spans="1:2">
      <c r="A3" t="s">
        <v>252</v>
      </c>
      <c r="B3">
        <v>3</v>
      </c>
    </row>
    <row r="4" spans="1:2">
      <c r="A4" t="s">
        <v>253</v>
      </c>
      <c r="B4">
        <v>4</v>
      </c>
    </row>
    <row r="5" spans="1:2">
      <c r="A5" t="s">
        <v>254</v>
      </c>
      <c r="B5">
        <v>5</v>
      </c>
    </row>
    <row r="6" spans="1:2">
      <c r="A6" t="s">
        <v>255</v>
      </c>
      <c r="B6">
        <v>6</v>
      </c>
    </row>
    <row r="7" spans="1:2">
      <c r="A7" t="s">
        <v>256</v>
      </c>
      <c r="B7">
        <v>7</v>
      </c>
    </row>
    <row r="8" spans="1:2">
      <c r="A8" t="s">
        <v>257</v>
      </c>
      <c r="B8">
        <v>9</v>
      </c>
    </row>
    <row r="9" spans="1:2">
      <c r="A9" t="s">
        <v>258</v>
      </c>
      <c r="B9">
        <v>10</v>
      </c>
    </row>
    <row r="10" spans="1:2">
      <c r="A10" t="s">
        <v>259</v>
      </c>
      <c r="B10">
        <v>11</v>
      </c>
    </row>
    <row r="11" spans="1:2">
      <c r="A11" t="s">
        <v>260</v>
      </c>
      <c r="B11">
        <v>12</v>
      </c>
    </row>
    <row r="12" spans="1:2">
      <c r="A12" t="s">
        <v>261</v>
      </c>
      <c r="B12">
        <v>13</v>
      </c>
    </row>
    <row r="13" spans="1:2">
      <c r="A13" t="s">
        <v>262</v>
      </c>
      <c r="B13">
        <v>14</v>
      </c>
    </row>
    <row r="14" spans="1:2">
      <c r="A14" t="s">
        <v>263</v>
      </c>
      <c r="B14">
        <v>15</v>
      </c>
    </row>
    <row r="15" spans="1:2">
      <c r="A15" t="s">
        <v>264</v>
      </c>
      <c r="B15">
        <v>16</v>
      </c>
    </row>
    <row r="16" spans="1:2">
      <c r="A16" t="s">
        <v>265</v>
      </c>
      <c r="B16">
        <v>17</v>
      </c>
    </row>
    <row r="17" spans="1:2">
      <c r="A17" t="s">
        <v>266</v>
      </c>
      <c r="B17">
        <v>18</v>
      </c>
    </row>
    <row r="18" spans="1:2">
      <c r="A18" t="s">
        <v>267</v>
      </c>
      <c r="B18">
        <v>19</v>
      </c>
    </row>
    <row r="19" spans="1:2">
      <c r="A19" t="s">
        <v>268</v>
      </c>
      <c r="B19">
        <v>20</v>
      </c>
    </row>
    <row r="20" spans="1:2">
      <c r="A20" t="s">
        <v>269</v>
      </c>
      <c r="B20">
        <v>21</v>
      </c>
    </row>
    <row r="21" spans="1:2">
      <c r="A21" t="s">
        <v>270</v>
      </c>
      <c r="B21">
        <v>22</v>
      </c>
    </row>
    <row r="22" spans="1:2">
      <c r="A22" t="s">
        <v>271</v>
      </c>
      <c r="B22">
        <v>23</v>
      </c>
    </row>
    <row r="23" spans="1:2">
      <c r="A23" t="s">
        <v>272</v>
      </c>
      <c r="B23">
        <v>24</v>
      </c>
    </row>
    <row r="24" spans="1:2">
      <c r="A24" t="s">
        <v>273</v>
      </c>
      <c r="B24">
        <v>25</v>
      </c>
    </row>
    <row r="25" spans="1:2">
      <c r="A25" t="s">
        <v>274</v>
      </c>
      <c r="B25">
        <v>26</v>
      </c>
    </row>
    <row r="26" spans="1:2">
      <c r="A26" t="s">
        <v>275</v>
      </c>
      <c r="B26">
        <v>27</v>
      </c>
    </row>
    <row r="27" spans="1:2">
      <c r="A27" t="s">
        <v>276</v>
      </c>
      <c r="B27">
        <v>28</v>
      </c>
    </row>
    <row r="28" spans="1:2">
      <c r="A28" t="s">
        <v>277</v>
      </c>
      <c r="B28">
        <v>29</v>
      </c>
    </row>
    <row r="29" spans="1:2">
      <c r="A29" t="s">
        <v>278</v>
      </c>
      <c r="B29">
        <v>30</v>
      </c>
    </row>
    <row r="30" spans="1:2">
      <c r="A30" t="s">
        <v>279</v>
      </c>
      <c r="B30">
        <v>31</v>
      </c>
    </row>
    <row r="31" spans="1:2">
      <c r="A31" t="s">
        <v>280</v>
      </c>
      <c r="B31">
        <v>33</v>
      </c>
    </row>
    <row r="32" spans="1:2">
      <c r="A32" t="s">
        <v>281</v>
      </c>
      <c r="B32">
        <v>34</v>
      </c>
    </row>
    <row r="33" spans="1:2">
      <c r="A33" t="s">
        <v>282</v>
      </c>
      <c r="B33">
        <v>35</v>
      </c>
    </row>
    <row r="34" spans="1:2">
      <c r="A34" t="s">
        <v>283</v>
      </c>
      <c r="B34">
        <v>36</v>
      </c>
    </row>
    <row r="35" spans="1:2">
      <c r="A35" t="s">
        <v>284</v>
      </c>
      <c r="B35">
        <v>37</v>
      </c>
    </row>
    <row r="36" spans="1:2">
      <c r="A36" t="s">
        <v>285</v>
      </c>
      <c r="B36">
        <v>38</v>
      </c>
    </row>
    <row r="37" spans="1:2">
      <c r="A37" t="s">
        <v>286</v>
      </c>
      <c r="B37">
        <v>39</v>
      </c>
    </row>
    <row r="38" spans="1:2">
      <c r="A38" t="s">
        <v>287</v>
      </c>
      <c r="B38">
        <v>40</v>
      </c>
    </row>
    <row r="39" spans="1:2">
      <c r="A39" t="s">
        <v>288</v>
      </c>
      <c r="B39">
        <v>41</v>
      </c>
    </row>
    <row r="40" spans="1:2">
      <c r="A40" t="s">
        <v>289</v>
      </c>
      <c r="B40">
        <v>42</v>
      </c>
    </row>
    <row r="41" spans="1:2">
      <c r="A41" t="s">
        <v>290</v>
      </c>
      <c r="B41">
        <v>43</v>
      </c>
    </row>
    <row r="42" spans="1:2">
      <c r="A42" t="s">
        <v>291</v>
      </c>
      <c r="B42">
        <v>44</v>
      </c>
    </row>
    <row r="43" spans="1:2">
      <c r="A43" t="s">
        <v>292</v>
      </c>
      <c r="B43">
        <v>45</v>
      </c>
    </row>
    <row r="44" spans="1:2">
      <c r="A44" t="s">
        <v>293</v>
      </c>
      <c r="B44">
        <v>46</v>
      </c>
    </row>
    <row r="45" spans="1:2">
      <c r="A45" t="s">
        <v>294</v>
      </c>
      <c r="B45">
        <v>47</v>
      </c>
    </row>
    <row r="46" spans="1:2">
      <c r="A46" t="s">
        <v>295</v>
      </c>
      <c r="B46">
        <v>48</v>
      </c>
    </row>
    <row r="47" spans="1:2">
      <c r="A47" t="s">
        <v>296</v>
      </c>
      <c r="B47">
        <v>49</v>
      </c>
    </row>
    <row r="48" spans="1:2">
      <c r="A48" t="s">
        <v>297</v>
      </c>
      <c r="B48">
        <v>50</v>
      </c>
    </row>
    <row r="49" spans="1:2">
      <c r="A49" t="s">
        <v>298</v>
      </c>
      <c r="B49">
        <v>51</v>
      </c>
    </row>
    <row r="50" spans="1:2">
      <c r="A50" t="s">
        <v>299</v>
      </c>
      <c r="B50">
        <v>52</v>
      </c>
    </row>
    <row r="51" spans="1:2">
      <c r="A51" t="s">
        <v>300</v>
      </c>
      <c r="B51">
        <v>53</v>
      </c>
    </row>
    <row r="52" spans="1:2">
      <c r="A52" t="s">
        <v>301</v>
      </c>
      <c r="B52">
        <v>54</v>
      </c>
    </row>
    <row r="53" spans="1:2">
      <c r="A53" t="s">
        <v>302</v>
      </c>
      <c r="B53">
        <v>55</v>
      </c>
    </row>
    <row r="54" spans="1:2">
      <c r="A54" t="s">
        <v>303</v>
      </c>
      <c r="B54">
        <v>57</v>
      </c>
    </row>
    <row r="55" spans="1:2">
      <c r="A55" t="s">
        <v>304</v>
      </c>
      <c r="B55">
        <v>58</v>
      </c>
    </row>
    <row r="56" spans="1:2">
      <c r="A56" t="s">
        <v>305</v>
      </c>
      <c r="B56">
        <v>59</v>
      </c>
    </row>
    <row r="57" spans="1:2">
      <c r="A57" t="s">
        <v>306</v>
      </c>
      <c r="B57">
        <v>60</v>
      </c>
    </row>
    <row r="58" spans="1:2">
      <c r="A58" t="s">
        <v>307</v>
      </c>
      <c r="B58">
        <v>62</v>
      </c>
    </row>
    <row r="59" spans="1:2">
      <c r="A59" t="s">
        <v>308</v>
      </c>
      <c r="B59">
        <v>63</v>
      </c>
    </row>
    <row r="60" spans="1:2">
      <c r="A60" t="s">
        <v>309</v>
      </c>
      <c r="B60">
        <v>64</v>
      </c>
    </row>
    <row r="61" spans="1:2">
      <c r="A61" t="s">
        <v>310</v>
      </c>
      <c r="B61">
        <v>65</v>
      </c>
    </row>
    <row r="62" spans="1:2">
      <c r="A62" t="s">
        <v>311</v>
      </c>
      <c r="B62">
        <v>66</v>
      </c>
    </row>
    <row r="63" spans="1:2">
      <c r="A63" t="s">
        <v>312</v>
      </c>
      <c r="B63">
        <v>68</v>
      </c>
    </row>
    <row r="64" spans="1:2">
      <c r="A64" t="s">
        <v>313</v>
      </c>
      <c r="B64">
        <v>69</v>
      </c>
    </row>
    <row r="65" spans="1:24">
      <c r="A65" t="s">
        <v>314</v>
      </c>
      <c r="B65">
        <v>70</v>
      </c>
    </row>
    <row r="66" spans="1:24">
      <c r="A66" t="s">
        <v>315</v>
      </c>
      <c r="B66">
        <v>71</v>
      </c>
    </row>
    <row r="67" spans="1:24">
      <c r="A67" t="s">
        <v>316</v>
      </c>
      <c r="B67">
        <v>72</v>
      </c>
    </row>
    <row r="68" spans="1:24">
      <c r="A68" t="s">
        <v>317</v>
      </c>
      <c r="B68" t="s">
        <v>318</v>
      </c>
    </row>
    <row r="69" spans="1:24">
      <c r="A69" t="s">
        <v>319</v>
      </c>
      <c r="B69" t="s">
        <v>320</v>
      </c>
    </row>
    <row r="70" spans="1:24">
      <c r="A70" t="s">
        <v>321</v>
      </c>
      <c r="B70" t="s">
        <v>322</v>
      </c>
    </row>
    <row r="71" spans="1:24">
      <c r="A71" t="s">
        <v>323</v>
      </c>
      <c r="B71" t="s">
        <v>324</v>
      </c>
    </row>
    <row r="72" spans="1:24">
      <c r="A72" t="s">
        <v>325</v>
      </c>
      <c r="B72" t="s">
        <v>326</v>
      </c>
    </row>
    <row r="73" spans="1:24">
      <c r="A73" t="s">
        <v>327</v>
      </c>
      <c r="B73" t="s">
        <v>328</v>
      </c>
    </row>
    <row r="74" spans="1:24">
      <c r="A74" t="s">
        <v>329</v>
      </c>
      <c r="B74" t="s">
        <v>330</v>
      </c>
    </row>
    <row r="75" spans="1:24">
      <c r="A75" t="s">
        <v>331</v>
      </c>
      <c r="B75" t="s">
        <v>332</v>
      </c>
    </row>
    <row r="76" spans="1:24">
      <c r="A76" t="s">
        <v>333</v>
      </c>
      <c r="B76" t="s">
        <v>334</v>
      </c>
    </row>
    <row r="77" spans="1:24">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c r="A78" t="s">
        <v>336</v>
      </c>
      <c r="B78">
        <v>1</v>
      </c>
    </row>
    <row r="79" spans="1:24">
      <c r="A79" t="s">
        <v>337</v>
      </c>
      <c r="B79">
        <v>2</v>
      </c>
    </row>
    <row r="80" spans="1:24">
      <c r="A80" t="s">
        <v>338</v>
      </c>
      <c r="B80">
        <v>3</v>
      </c>
    </row>
    <row r="81" spans="1:2">
      <c r="A81" t="s">
        <v>339</v>
      </c>
      <c r="B81">
        <v>4</v>
      </c>
    </row>
    <row r="82" spans="1:2">
      <c r="A82" t="s">
        <v>340</v>
      </c>
      <c r="B82">
        <v>5</v>
      </c>
    </row>
    <row r="83" spans="1:2">
      <c r="A83" t="s">
        <v>341</v>
      </c>
      <c r="B83">
        <v>6</v>
      </c>
    </row>
    <row r="84" spans="1:2">
      <c r="A84" t="s">
        <v>342</v>
      </c>
      <c r="B84">
        <v>8</v>
      </c>
    </row>
    <row r="85" spans="1:2">
      <c r="A85" t="s">
        <v>343</v>
      </c>
      <c r="B85">
        <v>9</v>
      </c>
    </row>
    <row r="86" spans="1:2">
      <c r="A86" t="s">
        <v>344</v>
      </c>
      <c r="B86">
        <v>10</v>
      </c>
    </row>
    <row r="87" spans="1:2">
      <c r="A87" t="s">
        <v>345</v>
      </c>
      <c r="B87">
        <v>11</v>
      </c>
    </row>
    <row r="88" spans="1:2">
      <c r="A88" t="s">
        <v>346</v>
      </c>
      <c r="B88">
        <v>12</v>
      </c>
    </row>
    <row r="89" spans="1:2">
      <c r="A89" t="s">
        <v>347</v>
      </c>
      <c r="B89">
        <v>13</v>
      </c>
    </row>
    <row r="90" spans="1:2">
      <c r="A90" t="s">
        <v>348</v>
      </c>
      <c r="B90">
        <v>14</v>
      </c>
    </row>
    <row r="91" spans="1:2">
      <c r="A91" t="s">
        <v>349</v>
      </c>
      <c r="B91">
        <v>15</v>
      </c>
    </row>
    <row r="92" spans="1:2">
      <c r="A92" t="s">
        <v>350</v>
      </c>
      <c r="B92">
        <v>16</v>
      </c>
    </row>
    <row r="93" spans="1:2">
      <c r="A93" t="s">
        <v>351</v>
      </c>
      <c r="B93">
        <v>17</v>
      </c>
    </row>
    <row r="94" spans="1:2">
      <c r="A94" t="s">
        <v>352</v>
      </c>
      <c r="B94">
        <v>18</v>
      </c>
    </row>
    <row r="95" spans="1:2">
      <c r="A95" t="s">
        <v>353</v>
      </c>
      <c r="B95">
        <v>19</v>
      </c>
    </row>
    <row r="96" spans="1:2">
      <c r="A96" t="s">
        <v>354</v>
      </c>
      <c r="B96">
        <v>20</v>
      </c>
    </row>
    <row r="97" spans="1:2">
      <c r="A97" t="s">
        <v>355</v>
      </c>
      <c r="B97">
        <v>21</v>
      </c>
    </row>
    <row r="98" spans="1:2">
      <c r="A98" t="s">
        <v>356</v>
      </c>
      <c r="B98">
        <v>22</v>
      </c>
    </row>
    <row r="99" spans="1:2">
      <c r="A99" t="s">
        <v>357</v>
      </c>
      <c r="B99">
        <v>23</v>
      </c>
    </row>
    <row r="100" spans="1:2">
      <c r="A100" t="s">
        <v>358</v>
      </c>
      <c r="B100">
        <v>24</v>
      </c>
    </row>
    <row r="101" spans="1:2">
      <c r="A101" t="s">
        <v>359</v>
      </c>
      <c r="B101">
        <v>25</v>
      </c>
    </row>
    <row r="102" spans="1:2">
      <c r="A102" t="s">
        <v>360</v>
      </c>
      <c r="B102">
        <v>26</v>
      </c>
    </row>
    <row r="103" spans="1:2">
      <c r="A103" t="s">
        <v>361</v>
      </c>
      <c r="B103">
        <v>27</v>
      </c>
    </row>
    <row r="104" spans="1:2">
      <c r="A104" t="s">
        <v>362</v>
      </c>
      <c r="B104">
        <v>28</v>
      </c>
    </row>
    <row r="105" spans="1:2">
      <c r="A105" t="s">
        <v>363</v>
      </c>
      <c r="B105">
        <v>29</v>
      </c>
    </row>
    <row r="106" spans="1:2">
      <c r="A106" t="s">
        <v>364</v>
      </c>
      <c r="B106">
        <v>31</v>
      </c>
    </row>
    <row r="107" spans="1:2">
      <c r="A107" t="s">
        <v>365</v>
      </c>
      <c r="B107">
        <v>32</v>
      </c>
    </row>
    <row r="108" spans="1:2">
      <c r="A108" t="s">
        <v>366</v>
      </c>
      <c r="B108">
        <v>33</v>
      </c>
    </row>
    <row r="109" spans="1:2">
      <c r="A109" t="s">
        <v>367</v>
      </c>
      <c r="B109">
        <v>34</v>
      </c>
    </row>
    <row r="110" spans="1:2">
      <c r="A110" t="s">
        <v>368</v>
      </c>
      <c r="B110">
        <v>35</v>
      </c>
    </row>
    <row r="111" spans="1:2">
      <c r="A111" t="s">
        <v>369</v>
      </c>
      <c r="B111">
        <v>36</v>
      </c>
    </row>
    <row r="112" spans="1:2">
      <c r="A112" t="s">
        <v>370</v>
      </c>
      <c r="B112">
        <v>37</v>
      </c>
    </row>
    <row r="113" spans="1:2">
      <c r="A113" t="s">
        <v>371</v>
      </c>
      <c r="B113">
        <v>38</v>
      </c>
    </row>
    <row r="114" spans="1:2">
      <c r="A114" t="s">
        <v>372</v>
      </c>
      <c r="B114">
        <v>39</v>
      </c>
    </row>
    <row r="115" spans="1:2">
      <c r="A115" t="s">
        <v>373</v>
      </c>
      <c r="B115">
        <v>40</v>
      </c>
    </row>
    <row r="116" spans="1:2">
      <c r="A116" t="s">
        <v>374</v>
      </c>
      <c r="B116">
        <v>41</v>
      </c>
    </row>
    <row r="117" spans="1:2">
      <c r="A117" t="s">
        <v>375</v>
      </c>
      <c r="B117">
        <v>42</v>
      </c>
    </row>
    <row r="118" spans="1:2">
      <c r="A118" t="s">
        <v>376</v>
      </c>
      <c r="B118">
        <v>43</v>
      </c>
    </row>
    <row r="119" spans="1:2">
      <c r="A119" t="s">
        <v>377</v>
      </c>
      <c r="B119">
        <v>44</v>
      </c>
    </row>
    <row r="120" spans="1:2">
      <c r="A120" t="s">
        <v>378</v>
      </c>
      <c r="B120">
        <v>45</v>
      </c>
    </row>
    <row r="121" spans="1:2">
      <c r="A121" t="s">
        <v>379</v>
      </c>
      <c r="B121">
        <v>46</v>
      </c>
    </row>
    <row r="122" spans="1:2">
      <c r="A122" t="s">
        <v>380</v>
      </c>
      <c r="B122">
        <v>47</v>
      </c>
    </row>
    <row r="123" spans="1:2">
      <c r="A123" t="s">
        <v>381</v>
      </c>
      <c r="B123">
        <v>48</v>
      </c>
    </row>
    <row r="124" spans="1:2">
      <c r="A124" t="s">
        <v>382</v>
      </c>
      <c r="B124">
        <v>49</v>
      </c>
    </row>
    <row r="125" spans="1:2">
      <c r="A125" t="s">
        <v>383</v>
      </c>
      <c r="B125">
        <v>50</v>
      </c>
    </row>
    <row r="126" spans="1:2">
      <c r="A126" t="s">
        <v>384</v>
      </c>
      <c r="B126">
        <v>51</v>
      </c>
    </row>
    <row r="127" spans="1:2">
      <c r="A127" t="s">
        <v>385</v>
      </c>
      <c r="B127">
        <v>52</v>
      </c>
    </row>
    <row r="128" spans="1:2">
      <c r="A128" t="s">
        <v>386</v>
      </c>
      <c r="B128">
        <v>54</v>
      </c>
    </row>
    <row r="129" spans="1:23">
      <c r="A129" t="s">
        <v>387</v>
      </c>
      <c r="B129">
        <v>55</v>
      </c>
    </row>
    <row r="130" spans="1:23">
      <c r="A130" t="s">
        <v>388</v>
      </c>
      <c r="B130">
        <v>56</v>
      </c>
    </row>
    <row r="131" spans="1:23">
      <c r="A131" t="s">
        <v>389</v>
      </c>
      <c r="B131">
        <v>57</v>
      </c>
    </row>
    <row r="132" spans="1:23">
      <c r="A132" t="s">
        <v>390</v>
      </c>
      <c r="B132">
        <v>58</v>
      </c>
    </row>
    <row r="133" spans="1:23">
      <c r="A133" t="s">
        <v>391</v>
      </c>
      <c r="B133">
        <v>59</v>
      </c>
    </row>
    <row r="134" spans="1:23">
      <c r="A134" t="s">
        <v>392</v>
      </c>
      <c r="B134" t="s">
        <v>393</v>
      </c>
    </row>
    <row r="135" spans="1:23">
      <c r="A135" t="s">
        <v>394</v>
      </c>
      <c r="B135" t="s">
        <v>395</v>
      </c>
    </row>
    <row r="136" spans="1:23">
      <c r="A136" t="s">
        <v>396</v>
      </c>
      <c r="B136" t="s">
        <v>397</v>
      </c>
    </row>
    <row r="137" spans="1:23">
      <c r="A137" t="s">
        <v>398</v>
      </c>
      <c r="B137" t="s">
        <v>399</v>
      </c>
    </row>
    <row r="138" spans="1:23">
      <c r="A138" t="s">
        <v>400</v>
      </c>
      <c r="B138" t="s">
        <v>401</v>
      </c>
    </row>
    <row r="139" spans="1:23">
      <c r="A139" t="s">
        <v>402</v>
      </c>
      <c r="B139" t="s">
        <v>403</v>
      </c>
    </row>
    <row r="140" spans="1:23">
      <c r="A140" t="s">
        <v>404</v>
      </c>
      <c r="B140" t="s">
        <v>405</v>
      </c>
    </row>
    <row r="141" spans="1:23">
      <c r="A141" t="s">
        <v>406</v>
      </c>
      <c r="B141" t="s">
        <v>407</v>
      </c>
    </row>
    <row r="142" spans="1:23">
      <c r="A142" t="s">
        <v>408</v>
      </c>
      <c r="B142" t="s">
        <v>409</v>
      </c>
    </row>
    <row r="143" spans="1:23">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c r="A144" t="s">
        <v>411</v>
      </c>
      <c r="B144">
        <v>1</v>
      </c>
    </row>
    <row r="145" spans="1:2">
      <c r="A145" t="s">
        <v>412</v>
      </c>
      <c r="B145">
        <v>2</v>
      </c>
    </row>
    <row r="146" spans="1:2">
      <c r="A146" t="s">
        <v>413</v>
      </c>
      <c r="B146">
        <v>3</v>
      </c>
    </row>
    <row r="147" spans="1:2">
      <c r="A147" t="s">
        <v>414</v>
      </c>
      <c r="B147">
        <v>4</v>
      </c>
    </row>
    <row r="148" spans="1:2">
      <c r="A148" t="s">
        <v>415</v>
      </c>
      <c r="B148">
        <v>5</v>
      </c>
    </row>
    <row r="149" spans="1:2">
      <c r="A149" t="s">
        <v>416</v>
      </c>
      <c r="B149">
        <v>6</v>
      </c>
    </row>
    <row r="150" spans="1:2">
      <c r="A150" t="s">
        <v>417</v>
      </c>
      <c r="B150">
        <v>8</v>
      </c>
    </row>
    <row r="151" spans="1:2">
      <c r="A151" t="s">
        <v>418</v>
      </c>
      <c r="B151">
        <v>9</v>
      </c>
    </row>
    <row r="152" spans="1:2">
      <c r="A152" t="s">
        <v>419</v>
      </c>
      <c r="B152">
        <v>10</v>
      </c>
    </row>
    <row r="153" spans="1:2">
      <c r="A153" t="s">
        <v>420</v>
      </c>
      <c r="B153">
        <v>11</v>
      </c>
    </row>
    <row r="154" spans="1:2">
      <c r="A154" t="s">
        <v>421</v>
      </c>
      <c r="B154">
        <v>12</v>
      </c>
    </row>
    <row r="155" spans="1:2">
      <c r="A155" t="s">
        <v>422</v>
      </c>
      <c r="B155">
        <v>13</v>
      </c>
    </row>
    <row r="156" spans="1:2">
      <c r="A156" t="s">
        <v>423</v>
      </c>
      <c r="B156">
        <v>14</v>
      </c>
    </row>
    <row r="157" spans="1:2">
      <c r="A157" t="s">
        <v>424</v>
      </c>
      <c r="B157">
        <v>15</v>
      </c>
    </row>
    <row r="158" spans="1:2">
      <c r="A158" t="s">
        <v>425</v>
      </c>
      <c r="B158">
        <v>16</v>
      </c>
    </row>
    <row r="159" spans="1:2">
      <c r="A159" t="s">
        <v>426</v>
      </c>
      <c r="B159">
        <v>17</v>
      </c>
    </row>
    <row r="160" spans="1:2">
      <c r="A160" t="s">
        <v>427</v>
      </c>
      <c r="B160">
        <v>18</v>
      </c>
    </row>
    <row r="161" spans="1:2">
      <c r="A161" t="s">
        <v>428</v>
      </c>
      <c r="B161">
        <v>19</v>
      </c>
    </row>
    <row r="162" spans="1:2">
      <c r="A162" t="s">
        <v>429</v>
      </c>
      <c r="B162">
        <v>20</v>
      </c>
    </row>
    <row r="163" spans="1:2">
      <c r="A163" t="s">
        <v>430</v>
      </c>
      <c r="B163">
        <v>21</v>
      </c>
    </row>
    <row r="164" spans="1:2">
      <c r="A164" t="s">
        <v>431</v>
      </c>
      <c r="B164">
        <v>22</v>
      </c>
    </row>
    <row r="165" spans="1:2">
      <c r="A165" t="s">
        <v>432</v>
      </c>
      <c r="B165">
        <v>23</v>
      </c>
    </row>
    <row r="166" spans="1:2">
      <c r="A166" t="s">
        <v>433</v>
      </c>
      <c r="B166">
        <v>24</v>
      </c>
    </row>
    <row r="167" spans="1:2">
      <c r="A167" t="s">
        <v>434</v>
      </c>
      <c r="B167">
        <v>25</v>
      </c>
    </row>
    <row r="168" spans="1:2">
      <c r="A168" t="s">
        <v>435</v>
      </c>
      <c r="B168">
        <v>26</v>
      </c>
    </row>
    <row r="169" spans="1:2">
      <c r="A169" t="s">
        <v>436</v>
      </c>
      <c r="B169">
        <v>27</v>
      </c>
    </row>
    <row r="170" spans="1:2">
      <c r="A170" t="s">
        <v>437</v>
      </c>
      <c r="B170">
        <v>28</v>
      </c>
    </row>
    <row r="171" spans="1:2">
      <c r="A171" t="s">
        <v>438</v>
      </c>
      <c r="B171">
        <v>29</v>
      </c>
    </row>
    <row r="172" spans="1:2">
      <c r="A172" t="s">
        <v>439</v>
      </c>
      <c r="B172">
        <v>31</v>
      </c>
    </row>
    <row r="173" spans="1:2">
      <c r="A173" t="s">
        <v>440</v>
      </c>
      <c r="B173">
        <v>32</v>
      </c>
    </row>
    <row r="174" spans="1:2">
      <c r="A174" t="s">
        <v>441</v>
      </c>
      <c r="B174">
        <v>33</v>
      </c>
    </row>
    <row r="175" spans="1:2">
      <c r="A175" t="s">
        <v>442</v>
      </c>
      <c r="B175">
        <v>34</v>
      </c>
    </row>
    <row r="176" spans="1:2">
      <c r="A176" t="s">
        <v>443</v>
      </c>
      <c r="B176">
        <v>35</v>
      </c>
    </row>
    <row r="177" spans="1:2">
      <c r="A177" t="s">
        <v>444</v>
      </c>
      <c r="B177">
        <v>36</v>
      </c>
    </row>
    <row r="178" spans="1:2">
      <c r="A178" t="s">
        <v>445</v>
      </c>
      <c r="B178">
        <v>37</v>
      </c>
    </row>
    <row r="179" spans="1:2">
      <c r="A179" t="s">
        <v>446</v>
      </c>
      <c r="B179">
        <v>38</v>
      </c>
    </row>
    <row r="180" spans="1:2">
      <c r="A180" t="s">
        <v>447</v>
      </c>
      <c r="B180">
        <v>39</v>
      </c>
    </row>
    <row r="181" spans="1:2">
      <c r="A181" t="s">
        <v>448</v>
      </c>
      <c r="B181">
        <v>40</v>
      </c>
    </row>
    <row r="182" spans="1:2">
      <c r="A182" t="s">
        <v>449</v>
      </c>
      <c r="B182">
        <v>41</v>
      </c>
    </row>
    <row r="183" spans="1:2">
      <c r="A183" t="s">
        <v>450</v>
      </c>
      <c r="B183">
        <v>42</v>
      </c>
    </row>
    <row r="184" spans="1:2">
      <c r="A184" t="s">
        <v>451</v>
      </c>
      <c r="B184">
        <v>43</v>
      </c>
    </row>
    <row r="185" spans="1:2">
      <c r="A185" t="s">
        <v>452</v>
      </c>
      <c r="B185">
        <v>44</v>
      </c>
    </row>
    <row r="186" spans="1:2">
      <c r="A186" t="s">
        <v>453</v>
      </c>
      <c r="B186">
        <v>45</v>
      </c>
    </row>
    <row r="187" spans="1:2">
      <c r="A187" t="s">
        <v>454</v>
      </c>
      <c r="B187">
        <v>46</v>
      </c>
    </row>
    <row r="188" spans="1:2">
      <c r="A188" t="s">
        <v>455</v>
      </c>
      <c r="B188">
        <v>47</v>
      </c>
    </row>
    <row r="189" spans="1:2">
      <c r="A189" t="s">
        <v>456</v>
      </c>
      <c r="B189">
        <v>48</v>
      </c>
    </row>
    <row r="190" spans="1:2">
      <c r="A190" t="s">
        <v>457</v>
      </c>
      <c r="B190">
        <v>49</v>
      </c>
    </row>
    <row r="191" spans="1:2">
      <c r="A191" t="s">
        <v>458</v>
      </c>
      <c r="B191">
        <v>50</v>
      </c>
    </row>
    <row r="192" spans="1:2">
      <c r="A192" t="s">
        <v>459</v>
      </c>
      <c r="B192">
        <v>51</v>
      </c>
    </row>
    <row r="193" spans="1:2">
      <c r="A193" t="s">
        <v>460</v>
      </c>
      <c r="B193">
        <v>52</v>
      </c>
    </row>
    <row r="194" spans="1:2">
      <c r="A194" t="s">
        <v>461</v>
      </c>
      <c r="B194">
        <v>54</v>
      </c>
    </row>
    <row r="195" spans="1:2">
      <c r="A195" t="s">
        <v>462</v>
      </c>
      <c r="B195">
        <v>55</v>
      </c>
    </row>
    <row r="196" spans="1:2">
      <c r="A196" t="s">
        <v>463</v>
      </c>
      <c r="B196">
        <v>56</v>
      </c>
    </row>
    <row r="197" spans="1:2">
      <c r="A197" t="s">
        <v>464</v>
      </c>
      <c r="B197">
        <v>57</v>
      </c>
    </row>
    <row r="198" spans="1:2">
      <c r="A198" t="s">
        <v>465</v>
      </c>
      <c r="B198">
        <v>58</v>
      </c>
    </row>
    <row r="199" spans="1:2">
      <c r="A199" t="s">
        <v>466</v>
      </c>
      <c r="B199">
        <v>59</v>
      </c>
    </row>
    <row r="200" spans="1:2">
      <c r="A200" t="s">
        <v>467</v>
      </c>
      <c r="B200" t="s">
        <v>468</v>
      </c>
    </row>
    <row r="201" spans="1:2">
      <c r="A201" t="s">
        <v>469</v>
      </c>
      <c r="B201" t="s">
        <v>470</v>
      </c>
    </row>
    <row r="202" spans="1:2">
      <c r="A202" t="s">
        <v>471</v>
      </c>
      <c r="B202" t="s">
        <v>472</v>
      </c>
    </row>
    <row r="203" spans="1:2">
      <c r="A203" t="s">
        <v>473</v>
      </c>
      <c r="B203" t="s">
        <v>474</v>
      </c>
    </row>
    <row r="204" spans="1:2">
      <c r="A204" t="s">
        <v>475</v>
      </c>
      <c r="B204" t="s">
        <v>476</v>
      </c>
    </row>
    <row r="205" spans="1:2">
      <c r="A205" t="s">
        <v>477</v>
      </c>
      <c r="B205" t="s">
        <v>478</v>
      </c>
    </row>
    <row r="206" spans="1:2">
      <c r="A206" t="s">
        <v>479</v>
      </c>
      <c r="B206" t="s">
        <v>480</v>
      </c>
    </row>
    <row r="207" spans="1:2">
      <c r="A207" t="s">
        <v>481</v>
      </c>
      <c r="B207" t="s">
        <v>482</v>
      </c>
    </row>
    <row r="208" spans="1:2">
      <c r="A208" t="s">
        <v>483</v>
      </c>
      <c r="B208" t="s">
        <v>484</v>
      </c>
    </row>
    <row r="209" spans="1:23">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c r="A210" t="s">
        <v>486</v>
      </c>
      <c r="B210">
        <v>1</v>
      </c>
    </row>
    <row r="211" spans="1:23">
      <c r="A211" t="s">
        <v>487</v>
      </c>
      <c r="B211">
        <v>2</v>
      </c>
    </row>
    <row r="212" spans="1:23">
      <c r="A212" t="s">
        <v>488</v>
      </c>
      <c r="B212">
        <v>3</v>
      </c>
    </row>
    <row r="213" spans="1:23">
      <c r="A213" t="s">
        <v>489</v>
      </c>
      <c r="B213">
        <v>4</v>
      </c>
    </row>
    <row r="214" spans="1:23">
      <c r="A214" t="s">
        <v>490</v>
      </c>
      <c r="B214">
        <v>5</v>
      </c>
    </row>
    <row r="215" spans="1:23">
      <c r="A215" t="s">
        <v>491</v>
      </c>
      <c r="B215">
        <v>6</v>
      </c>
    </row>
    <row r="216" spans="1:23">
      <c r="A216" t="s">
        <v>492</v>
      </c>
      <c r="B216">
        <v>7</v>
      </c>
    </row>
    <row r="217" spans="1:23">
      <c r="A217" t="s">
        <v>493</v>
      </c>
      <c r="B217">
        <v>9</v>
      </c>
    </row>
    <row r="218" spans="1:23">
      <c r="A218" t="s">
        <v>494</v>
      </c>
      <c r="B218">
        <v>10</v>
      </c>
    </row>
    <row r="219" spans="1:23">
      <c r="A219" t="s">
        <v>495</v>
      </c>
      <c r="B219">
        <v>11</v>
      </c>
    </row>
    <row r="220" spans="1:23">
      <c r="A220" t="s">
        <v>496</v>
      </c>
      <c r="B220">
        <v>12</v>
      </c>
    </row>
    <row r="221" spans="1:23">
      <c r="A221" t="s">
        <v>497</v>
      </c>
      <c r="B221">
        <v>13</v>
      </c>
    </row>
    <row r="222" spans="1:23">
      <c r="A222" t="s">
        <v>498</v>
      </c>
      <c r="B222">
        <v>14</v>
      </c>
    </row>
    <row r="223" spans="1:23">
      <c r="A223" t="s">
        <v>499</v>
      </c>
      <c r="B223">
        <v>15</v>
      </c>
    </row>
    <row r="224" spans="1:23">
      <c r="A224" t="s">
        <v>500</v>
      </c>
      <c r="B224">
        <v>16</v>
      </c>
    </row>
    <row r="225" spans="1:2">
      <c r="A225" t="s">
        <v>501</v>
      </c>
      <c r="B225">
        <v>17</v>
      </c>
    </row>
    <row r="226" spans="1:2">
      <c r="A226" t="s">
        <v>502</v>
      </c>
      <c r="B226">
        <v>18</v>
      </c>
    </row>
    <row r="227" spans="1:2">
      <c r="A227" t="s">
        <v>503</v>
      </c>
      <c r="B227">
        <v>19</v>
      </c>
    </row>
    <row r="228" spans="1:2">
      <c r="A228" t="s">
        <v>504</v>
      </c>
      <c r="B228">
        <v>20</v>
      </c>
    </row>
    <row r="229" spans="1:2">
      <c r="A229" t="s">
        <v>505</v>
      </c>
      <c r="B229">
        <v>21</v>
      </c>
    </row>
    <row r="230" spans="1:2">
      <c r="A230" t="s">
        <v>506</v>
      </c>
      <c r="B230">
        <v>22</v>
      </c>
    </row>
    <row r="231" spans="1:2">
      <c r="A231" t="s">
        <v>507</v>
      </c>
      <c r="B231">
        <v>23</v>
      </c>
    </row>
    <row r="232" spans="1:2">
      <c r="A232" t="s">
        <v>508</v>
      </c>
      <c r="B232">
        <v>24</v>
      </c>
    </row>
    <row r="233" spans="1:2">
      <c r="A233" t="s">
        <v>509</v>
      </c>
      <c r="B233">
        <v>25</v>
      </c>
    </row>
    <row r="234" spans="1:2">
      <c r="A234" t="s">
        <v>510</v>
      </c>
      <c r="B234">
        <v>26</v>
      </c>
    </row>
    <row r="235" spans="1:2">
      <c r="A235" t="s">
        <v>511</v>
      </c>
      <c r="B235">
        <v>27</v>
      </c>
    </row>
    <row r="236" spans="1:2">
      <c r="A236" t="s">
        <v>512</v>
      </c>
      <c r="B236">
        <v>28</v>
      </c>
    </row>
    <row r="237" spans="1:2">
      <c r="A237" t="s">
        <v>513</v>
      </c>
      <c r="B237">
        <v>29</v>
      </c>
    </row>
    <row r="238" spans="1:2">
      <c r="A238" t="s">
        <v>514</v>
      </c>
      <c r="B238">
        <v>30</v>
      </c>
    </row>
    <row r="239" spans="1:2">
      <c r="A239" t="s">
        <v>515</v>
      </c>
      <c r="B239">
        <v>31</v>
      </c>
    </row>
    <row r="240" spans="1:2">
      <c r="A240" t="s">
        <v>516</v>
      </c>
      <c r="B240">
        <v>33</v>
      </c>
    </row>
    <row r="241" spans="1:2">
      <c r="A241" t="s">
        <v>517</v>
      </c>
      <c r="B241">
        <v>34</v>
      </c>
    </row>
    <row r="242" spans="1:2">
      <c r="A242" t="s">
        <v>518</v>
      </c>
      <c r="B242">
        <v>35</v>
      </c>
    </row>
    <row r="243" spans="1:2">
      <c r="A243" t="s">
        <v>519</v>
      </c>
      <c r="B243">
        <v>36</v>
      </c>
    </row>
    <row r="244" spans="1:2">
      <c r="A244" t="s">
        <v>520</v>
      </c>
      <c r="B244">
        <v>37</v>
      </c>
    </row>
    <row r="245" spans="1:2">
      <c r="A245" t="s">
        <v>521</v>
      </c>
      <c r="B245">
        <v>38</v>
      </c>
    </row>
    <row r="246" spans="1:2">
      <c r="A246" t="s">
        <v>522</v>
      </c>
      <c r="B246">
        <v>39</v>
      </c>
    </row>
    <row r="247" spans="1:2">
      <c r="A247" t="s">
        <v>523</v>
      </c>
      <c r="B247">
        <v>40</v>
      </c>
    </row>
    <row r="248" spans="1:2">
      <c r="A248" t="s">
        <v>524</v>
      </c>
      <c r="B248">
        <v>41</v>
      </c>
    </row>
    <row r="249" spans="1:2">
      <c r="A249" t="s">
        <v>525</v>
      </c>
      <c r="B249">
        <v>42</v>
      </c>
    </row>
    <row r="250" spans="1:2">
      <c r="A250" t="s">
        <v>526</v>
      </c>
      <c r="B250">
        <v>43</v>
      </c>
    </row>
    <row r="251" spans="1:2">
      <c r="A251" t="s">
        <v>527</v>
      </c>
      <c r="B251">
        <v>44</v>
      </c>
    </row>
    <row r="252" spans="1:2">
      <c r="A252" t="s">
        <v>528</v>
      </c>
      <c r="B252">
        <v>45</v>
      </c>
    </row>
    <row r="253" spans="1:2">
      <c r="A253" t="s">
        <v>529</v>
      </c>
      <c r="B253">
        <v>46</v>
      </c>
    </row>
    <row r="254" spans="1:2">
      <c r="A254" t="s">
        <v>530</v>
      </c>
      <c r="B254">
        <v>47</v>
      </c>
    </row>
    <row r="255" spans="1:2">
      <c r="A255" t="s">
        <v>531</v>
      </c>
      <c r="B255">
        <v>48</v>
      </c>
    </row>
    <row r="256" spans="1:2">
      <c r="A256" t="s">
        <v>532</v>
      </c>
      <c r="B256">
        <v>49</v>
      </c>
    </row>
    <row r="257" spans="1:2">
      <c r="A257" t="s">
        <v>533</v>
      </c>
      <c r="B257">
        <v>50</v>
      </c>
    </row>
    <row r="258" spans="1:2">
      <c r="A258" t="s">
        <v>534</v>
      </c>
      <c r="B258">
        <v>51</v>
      </c>
    </row>
    <row r="259" spans="1:2">
      <c r="A259" t="s">
        <v>535</v>
      </c>
      <c r="B259">
        <v>52</v>
      </c>
    </row>
    <row r="260" spans="1:2">
      <c r="A260" t="s">
        <v>536</v>
      </c>
      <c r="B260">
        <v>53</v>
      </c>
    </row>
    <row r="261" spans="1:2">
      <c r="A261" t="s">
        <v>537</v>
      </c>
      <c r="B261">
        <v>54</v>
      </c>
    </row>
    <row r="262" spans="1:2">
      <c r="A262" t="s">
        <v>538</v>
      </c>
      <c r="B262">
        <v>55</v>
      </c>
    </row>
    <row r="263" spans="1:2">
      <c r="A263" t="s">
        <v>539</v>
      </c>
      <c r="B263">
        <v>57</v>
      </c>
    </row>
    <row r="264" spans="1:2">
      <c r="A264" t="s">
        <v>540</v>
      </c>
      <c r="B264">
        <v>58</v>
      </c>
    </row>
    <row r="265" spans="1:2">
      <c r="A265" t="s">
        <v>541</v>
      </c>
      <c r="B265">
        <v>59</v>
      </c>
    </row>
    <row r="266" spans="1:2">
      <c r="A266" t="s">
        <v>542</v>
      </c>
      <c r="B266">
        <v>60</v>
      </c>
    </row>
    <row r="267" spans="1:2">
      <c r="A267" t="s">
        <v>543</v>
      </c>
      <c r="B267">
        <v>62</v>
      </c>
    </row>
    <row r="268" spans="1:2">
      <c r="A268" t="s">
        <v>544</v>
      </c>
      <c r="B268">
        <v>63</v>
      </c>
    </row>
    <row r="269" spans="1:2">
      <c r="A269" t="s">
        <v>545</v>
      </c>
      <c r="B269">
        <v>64</v>
      </c>
    </row>
    <row r="270" spans="1:2">
      <c r="A270" t="s">
        <v>546</v>
      </c>
      <c r="B270">
        <v>65</v>
      </c>
    </row>
    <row r="271" spans="1:2">
      <c r="A271" t="s">
        <v>547</v>
      </c>
      <c r="B271">
        <v>66</v>
      </c>
    </row>
    <row r="272" spans="1:2">
      <c r="A272" t="s">
        <v>548</v>
      </c>
      <c r="B272">
        <v>68</v>
      </c>
    </row>
    <row r="273" spans="1:24">
      <c r="A273" t="s">
        <v>549</v>
      </c>
      <c r="B273">
        <v>69</v>
      </c>
    </row>
    <row r="274" spans="1:24">
      <c r="A274" t="s">
        <v>550</v>
      </c>
      <c r="B274">
        <v>70</v>
      </c>
    </row>
    <row r="275" spans="1:24">
      <c r="A275" t="s">
        <v>551</v>
      </c>
      <c r="B275">
        <v>71</v>
      </c>
    </row>
    <row r="276" spans="1:24">
      <c r="A276" t="s">
        <v>552</v>
      </c>
      <c r="B276">
        <v>72</v>
      </c>
    </row>
    <row r="277" spans="1:24">
      <c r="A277" t="s">
        <v>553</v>
      </c>
      <c r="B277" t="s">
        <v>554</v>
      </c>
    </row>
    <row r="278" spans="1:24">
      <c r="A278" t="s">
        <v>555</v>
      </c>
      <c r="B278" t="s">
        <v>556</v>
      </c>
    </row>
    <row r="279" spans="1:24">
      <c r="A279" t="s">
        <v>557</v>
      </c>
      <c r="B279" t="s">
        <v>558</v>
      </c>
    </row>
    <row r="280" spans="1:24">
      <c r="A280" t="s">
        <v>559</v>
      </c>
      <c r="B280" t="s">
        <v>560</v>
      </c>
    </row>
    <row r="281" spans="1:24">
      <c r="A281" t="s">
        <v>561</v>
      </c>
      <c r="B281" t="s">
        <v>562</v>
      </c>
    </row>
    <row r="282" spans="1:24">
      <c r="A282" t="s">
        <v>563</v>
      </c>
      <c r="B282" t="s">
        <v>564</v>
      </c>
    </row>
    <row r="283" spans="1:24">
      <c r="A283" t="s">
        <v>565</v>
      </c>
      <c r="B283" t="s">
        <v>566</v>
      </c>
    </row>
    <row r="284" spans="1:24">
      <c r="A284" t="s">
        <v>567</v>
      </c>
      <c r="B284" t="s">
        <v>568</v>
      </c>
    </row>
    <row r="285" spans="1:24">
      <c r="A285" t="s">
        <v>569</v>
      </c>
      <c r="B285" t="s">
        <v>570</v>
      </c>
    </row>
    <row r="286" spans="1:24">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zoomScale="80" zoomScaleNormal="80" workbookViewId="0">
      <pane xSplit="2" ySplit="4" topLeftCell="AD5" activePane="bottomRight" state="frozen"/>
      <selection pane="topRight" activeCell="C1" sqref="C1"/>
      <selection pane="bottomLeft" activeCell="A5" sqref="A5"/>
      <selection pane="bottomRight" activeCell="AR74" sqref="AR74"/>
    </sheetView>
  </sheetViews>
  <sheetFormatPr baseColWidth="10" defaultColWidth="8.83203125" defaultRowHeight="15" outlineLevelRow="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c r="A1" s="76" t="s">
        <v>586</v>
      </c>
      <c r="B1" s="62"/>
      <c r="C1" s="62"/>
      <c r="D1" s="62"/>
      <c r="E1" s="62"/>
      <c r="F1" s="62"/>
      <c r="G1" s="62"/>
      <c r="I1" s="61" t="s">
        <v>590</v>
      </c>
      <c r="J1" s="62"/>
      <c r="K1" s="62"/>
      <c r="L1" s="62"/>
      <c r="M1" s="62"/>
      <c r="N1" s="62"/>
      <c r="O1" s="62"/>
      <c r="P1" s="62"/>
      <c r="Q1" s="62"/>
      <c r="R1" s="62"/>
      <c r="S1" s="62"/>
      <c r="T1" s="62"/>
      <c r="U1" s="62"/>
      <c r="V1" s="62"/>
      <c r="W1" s="62"/>
      <c r="X1" s="62"/>
      <c r="Y1" s="62"/>
      <c r="Z1" s="62"/>
      <c r="AA1" s="62"/>
      <c r="AB1" s="62"/>
      <c r="AC1" s="62"/>
      <c r="AD1" s="62"/>
      <c r="AE1" s="62"/>
      <c r="AG1" s="63"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c r="A2" s="72" t="s">
        <v>139</v>
      </c>
      <c r="B2" s="73" t="s">
        <v>140</v>
      </c>
      <c r="C2" s="72" t="s">
        <v>141</v>
      </c>
      <c r="D2" s="73" t="s">
        <v>142</v>
      </c>
      <c r="E2" s="72" t="s">
        <v>143</v>
      </c>
      <c r="F2" s="73" t="s">
        <v>144</v>
      </c>
      <c r="G2" s="72" t="s">
        <v>145</v>
      </c>
      <c r="I2" s="73" t="s">
        <v>146</v>
      </c>
      <c r="J2" s="74" t="s">
        <v>147</v>
      </c>
      <c r="K2" s="62"/>
      <c r="L2" s="62"/>
      <c r="M2" s="62"/>
      <c r="N2" s="72" t="s">
        <v>148</v>
      </c>
      <c r="O2" s="73" t="s">
        <v>149</v>
      </c>
      <c r="P2" s="72" t="s">
        <v>86</v>
      </c>
      <c r="Q2" s="73" t="s">
        <v>88</v>
      </c>
      <c r="R2" s="72" t="s">
        <v>84</v>
      </c>
      <c r="S2" s="75" t="s">
        <v>150</v>
      </c>
      <c r="T2" s="62"/>
      <c r="U2" s="62"/>
      <c r="V2" s="62"/>
      <c r="W2" s="74" t="s">
        <v>151</v>
      </c>
      <c r="X2" s="62"/>
      <c r="Y2" s="75" t="s">
        <v>152</v>
      </c>
      <c r="Z2" s="62"/>
      <c r="AA2" s="62"/>
      <c r="AB2" s="74" t="s">
        <v>153</v>
      </c>
      <c r="AC2" s="62"/>
      <c r="AD2" s="75" t="s">
        <v>154</v>
      </c>
      <c r="AE2" s="62"/>
      <c r="AG2" s="72" t="s">
        <v>146</v>
      </c>
      <c r="AH2" s="75" t="s">
        <v>147</v>
      </c>
      <c r="AI2" s="62"/>
      <c r="AJ2" s="62"/>
      <c r="AK2" s="62"/>
      <c r="AL2" s="73" t="s">
        <v>155</v>
      </c>
      <c r="AM2" s="72" t="s">
        <v>149</v>
      </c>
      <c r="AN2" s="73" t="s">
        <v>86</v>
      </c>
      <c r="AO2" s="72" t="s">
        <v>88</v>
      </c>
      <c r="AP2" s="73" t="s">
        <v>84</v>
      </c>
      <c r="AQ2" s="74" t="s">
        <v>150</v>
      </c>
      <c r="AR2" s="62"/>
      <c r="AS2" s="62"/>
      <c r="AT2" s="62"/>
      <c r="AU2" s="75" t="s">
        <v>151</v>
      </c>
      <c r="AV2" s="62"/>
      <c r="AW2" s="74" t="s">
        <v>152</v>
      </c>
      <c r="AX2" s="62"/>
      <c r="AY2" s="62"/>
      <c r="AZ2" s="75" t="s">
        <v>153</v>
      </c>
      <c r="BA2" s="62"/>
      <c r="BB2" s="74" t="s">
        <v>154</v>
      </c>
      <c r="BC2" s="62"/>
      <c r="BE2" s="73" t="s">
        <v>156</v>
      </c>
      <c r="BF2" s="72" t="s">
        <v>157</v>
      </c>
      <c r="BG2" s="73" t="s">
        <v>158</v>
      </c>
      <c r="BH2" s="72" t="s">
        <v>158</v>
      </c>
      <c r="BJ2" s="75" t="s">
        <v>7</v>
      </c>
      <c r="BK2" s="62"/>
      <c r="BL2" s="74" t="s">
        <v>8</v>
      </c>
      <c r="BM2" s="62"/>
      <c r="BN2" s="62"/>
      <c r="BP2" s="75" t="s">
        <v>9</v>
      </c>
      <c r="BQ2" s="62"/>
      <c r="BR2" s="74" t="s">
        <v>10</v>
      </c>
      <c r="BS2" s="62"/>
      <c r="BT2" s="62"/>
      <c r="BV2" s="73" t="s">
        <v>86</v>
      </c>
      <c r="BW2" s="72" t="s">
        <v>88</v>
      </c>
      <c r="BX2" s="73" t="s">
        <v>84</v>
      </c>
      <c r="BY2" s="74" t="s">
        <v>150</v>
      </c>
      <c r="BZ2" s="62"/>
      <c r="CA2" s="62"/>
      <c r="CB2" s="62"/>
      <c r="CC2" s="75" t="s">
        <v>151</v>
      </c>
      <c r="CD2" s="62"/>
      <c r="CE2" s="74" t="s">
        <v>152</v>
      </c>
      <c r="CF2" s="62"/>
      <c r="CG2" s="62"/>
    </row>
    <row r="3" spans="1:88" ht="33" thickBot="1">
      <c r="A3" s="65"/>
      <c r="B3" s="65"/>
      <c r="C3" s="65"/>
      <c r="D3" s="65"/>
      <c r="E3" s="65"/>
      <c r="F3" s="65"/>
      <c r="G3" s="65"/>
      <c r="I3" s="65"/>
      <c r="J3" s="56" t="s">
        <v>27</v>
      </c>
      <c r="K3" s="56" t="s">
        <v>25</v>
      </c>
      <c r="L3" s="56" t="s">
        <v>159</v>
      </c>
      <c r="M3" s="56" t="s">
        <v>160</v>
      </c>
      <c r="N3" s="65"/>
      <c r="O3" s="65"/>
      <c r="P3" s="65"/>
      <c r="Q3" s="65"/>
      <c r="R3" s="65"/>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5"/>
      <c r="AH3" s="57" t="s">
        <v>27</v>
      </c>
      <c r="AI3" s="57" t="s">
        <v>25</v>
      </c>
      <c r="AJ3" s="57" t="s">
        <v>159</v>
      </c>
      <c r="AK3" s="57" t="s">
        <v>160</v>
      </c>
      <c r="AL3" s="65"/>
      <c r="AM3" s="65"/>
      <c r="AN3" s="65"/>
      <c r="AO3" s="65"/>
      <c r="AP3" s="65"/>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5"/>
      <c r="BF3" s="65"/>
      <c r="BG3" s="65"/>
      <c r="BH3" s="65"/>
      <c r="BJ3" s="57" t="s">
        <v>11</v>
      </c>
      <c r="BK3" s="57" t="s">
        <v>12</v>
      </c>
      <c r="BL3" s="56" t="s">
        <v>13</v>
      </c>
      <c r="BM3" s="56" t="s">
        <v>14</v>
      </c>
      <c r="BN3" s="56" t="s">
        <v>15</v>
      </c>
      <c r="BP3" s="57" t="s">
        <v>11</v>
      </c>
      <c r="BQ3" s="57" t="s">
        <v>12</v>
      </c>
      <c r="BR3" s="56" t="s">
        <v>13</v>
      </c>
      <c r="BS3" s="56" t="s">
        <v>14</v>
      </c>
      <c r="BT3" s="56" t="s">
        <v>15</v>
      </c>
      <c r="BV3" s="65"/>
      <c r="BW3" s="65"/>
      <c r="BX3" s="65"/>
      <c r="BY3" s="60" t="s">
        <v>27</v>
      </c>
      <c r="BZ3" s="60" t="s">
        <v>159</v>
      </c>
      <c r="CA3" s="60" t="s">
        <v>161</v>
      </c>
      <c r="CB3" s="60" t="s">
        <v>26</v>
      </c>
      <c r="CC3" s="59" t="s">
        <v>11</v>
      </c>
      <c r="CD3" s="59" t="s">
        <v>12</v>
      </c>
      <c r="CE3" s="60" t="s">
        <v>13</v>
      </c>
      <c r="CF3" s="60" t="s">
        <v>14</v>
      </c>
      <c r="CG3" s="60" t="s">
        <v>15</v>
      </c>
    </row>
    <row r="4" spans="1:88" ht="123" hidden="1" customHeight="1">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c r="A5" s="52" t="s">
        <v>231</v>
      </c>
      <c r="B5" s="52" t="s">
        <v>51</v>
      </c>
      <c r="C5" s="9" t="s">
        <v>232</v>
      </c>
      <c r="D5" s="52">
        <v>238146391</v>
      </c>
      <c r="E5" s="9">
        <v>10</v>
      </c>
      <c r="F5" s="9">
        <v>32</v>
      </c>
      <c r="G5" s="9">
        <v>30</v>
      </c>
      <c r="I5" s="10">
        <f t="shared" ref="I5:I39" si="0">IF(OR(ISBLANK(S5),ISBLANK(G5)),"·",S5*G5/F5/1000000)</f>
        <v>1.0426424999999999</v>
      </c>
      <c r="J5" s="11">
        <f t="shared" ref="J5:J39" si="1">IF(ISBLANK(S5),"·",S5/D5)</f>
        <v>4.6700350793894667E-3</v>
      </c>
      <c r="K5" s="11">
        <f t="shared" ref="K5:K39" si="2">IF(N5="","·",N5/D5)</f>
        <v>4.0576386479860621E-3</v>
      </c>
      <c r="L5" s="11">
        <f t="shared" ref="L5:L39" si="3">IF(T5="","·",T5/D5)</f>
        <v>2.5510359298285567E-3</v>
      </c>
      <c r="M5" s="11">
        <f t="shared" ref="M5:M39" si="4">IF(ISBLANK(V5),"·",V5/D5)</f>
        <v>6.1239643140340516E-4</v>
      </c>
      <c r="N5" s="52">
        <f t="shared" ref="N5:N39" si="5">IF(OR(ISBLANK(T5),ISBLANK(U5)),"",T5+U5)</f>
        <v>966312</v>
      </c>
      <c r="O5" s="11">
        <v>16</v>
      </c>
      <c r="P5" s="12">
        <v>23582209</v>
      </c>
      <c r="Q5" s="12">
        <v>736944.03125</v>
      </c>
      <c r="R5" s="12">
        <v>16984.9375</v>
      </c>
      <c r="S5" s="13">
        <v>1112152</v>
      </c>
      <c r="T5" s="13">
        <v>607520</v>
      </c>
      <c r="U5" s="13">
        <v>358792</v>
      </c>
      <c r="V5" s="13">
        <v>145840</v>
      </c>
      <c r="W5" s="14">
        <v>66.845706000000007</v>
      </c>
      <c r="X5" s="14">
        <v>68.619974999999997</v>
      </c>
      <c r="Y5" s="14">
        <v>31.719308999999999</v>
      </c>
      <c r="Z5" s="14">
        <v>44.569031000000003</v>
      </c>
      <c r="AA5" s="14">
        <v>44.236403000000003</v>
      </c>
      <c r="AB5" s="15">
        <v>3280.25</v>
      </c>
      <c r="AC5" s="15">
        <v>2800.14</v>
      </c>
      <c r="AD5" s="15">
        <v>57.094000000000001</v>
      </c>
      <c r="AE5" s="15">
        <v>13.789</v>
      </c>
      <c r="AG5" s="10">
        <f t="shared" ref="AG5:AG39" si="6">IF(OR(ISBLANK(AQ5),ISBLANK(G5)),"·",AQ5*G5/F5/1000000)</f>
        <v>1.0420275000000001</v>
      </c>
      <c r="AH5" s="11">
        <f t="shared" ref="AH5:AH39" si="7">IF(ISBLANK(AQ5),"·",AQ5/D5)</f>
        <v>4.6672804711955515E-3</v>
      </c>
      <c r="AI5" s="11">
        <f t="shared" ref="AI5:AI39" si="8">IF(AL5="","·",AL5/D5)</f>
        <v>4.0543465552665041E-3</v>
      </c>
      <c r="AJ5" s="11">
        <f t="shared" ref="AJ5:AJ39" si="9">IF(AR5="","·",AR5/D5)</f>
        <v>2.5510359298285567E-3</v>
      </c>
      <c r="AK5" s="11">
        <f t="shared" ref="AK5:AK39" si="10">IF(ISBLANK(AT5),"·",AT5/D5)</f>
        <v>6.1239643140340516E-4</v>
      </c>
      <c r="AL5" s="52">
        <f t="shared" ref="AL5:AL39" si="11">IF(OR(ISBLANK(AR5),ISBLANK(AS5)),"",AR5+AS5)</f>
        <v>965528</v>
      </c>
      <c r="AM5" s="11">
        <v>16</v>
      </c>
      <c r="AN5" s="12">
        <v>23582209</v>
      </c>
      <c r="AO5" s="12">
        <v>736944.03125</v>
      </c>
      <c r="AP5" s="12">
        <v>16984.9375</v>
      </c>
      <c r="AQ5" s="13">
        <v>1111496</v>
      </c>
      <c r="AR5" s="13">
        <v>607520</v>
      </c>
      <c r="AS5" s="13">
        <v>358008</v>
      </c>
      <c r="AT5" s="13">
        <v>145840</v>
      </c>
      <c r="AU5" s="14">
        <v>66.845706000000007</v>
      </c>
      <c r="AV5" s="14">
        <v>68.619974999999997</v>
      </c>
      <c r="AW5" s="14">
        <v>31.719308999999999</v>
      </c>
      <c r="AX5" s="14">
        <v>44.569031000000003</v>
      </c>
      <c r="AY5" s="14">
        <v>44.236403000000003</v>
      </c>
      <c r="AZ5" s="15">
        <v>3954.42</v>
      </c>
      <c r="BA5" s="15">
        <v>3650.81</v>
      </c>
      <c r="BB5" s="15">
        <v>68.84</v>
      </c>
      <c r="BC5" s="15">
        <v>18.983000000000001</v>
      </c>
      <c r="BE5" s="50">
        <f t="shared" ref="BE5:BE43" si="12">AI5/K5</f>
        <v>0.99918866784227034</v>
      </c>
      <c r="BF5" s="16">
        <f t="shared" ref="BF5:BF39" si="13">(AP5/AO5) - (R5/Q5)</f>
        <v>0</v>
      </c>
      <c r="BG5" s="16">
        <f t="shared" ref="BG5:BG39" si="14">(AL5/AQ5) - (N5/S5)</f>
        <v>-1.9255431357945163E-4</v>
      </c>
      <c r="BH5" s="16">
        <f t="array" ref="BH5">AVERAGE(AL5:AL9/AQ5:AQ9) - AVERAGE(N5:N9/S5:S9)</f>
        <v>-1.3845356218555871E-4</v>
      </c>
      <c r="BJ5" s="50">
        <f>IF( OR(ISBLANK(N5:N9),ISBLANK(AL5:AL9), ISBLANK(W5:W9),ISBLANK(AU5:AU9)), "·", bdRateExtend( N5:N9,W5:W9, AL5:AL9,AU5:AU9))</f>
        <v>-5.5895407719042112E-4</v>
      </c>
      <c r="BK5" s="50">
        <f>IF( OR(ISBLANK(N5:N9),ISBLANK(AL5:AL9), ISBLANK(X5:X9),ISBLANK(AV5:AV9)), "·", bdRateExtend( N5:N9,X5:X9, AL5:AL9,AV5:AV9))</f>
        <v>-5.3520036350129807E-4</v>
      </c>
      <c r="BL5" s="50">
        <f>IF( OR(ISBLANK(V5:V9),ISBLANK(AT5:AT9), ISBLANK(Y5:Y9),ISBLANK(AW5:AW9)), "·", bdRateExtend( V5:V9,Y5:Y9, AT5:AT9,AW5:AW9))</f>
        <v>0</v>
      </c>
      <c r="BM5" s="50">
        <f>IF( OR(ISBLANK(V5:V9),ISBLANK(AT5:AT9), ISBLANK(Z5:Z9),ISBLANK(AX5:AX9)), "·", bdRateExtend( V5:V9,Z5:Z9, AT5:AT9,AX5:AX9))</f>
        <v>0</v>
      </c>
      <c r="BN5" s="50">
        <f>IF( OR(ISBLANK(V5:V9),ISBLANK(AT5:AT9), ISBLANK(AA5:AA9),ISBLANK(AY5:AY9)), "·", bdRateExtend( V5:V9,AA5:AA9, AT5:AT9,AY5:AY9))</f>
        <v>0</v>
      </c>
      <c r="BP5" s="50">
        <f>IF( OR(ISBLANK(S5:S9),ISBLANK(AQ5:AQ9), ISBLANK(W5:W9),ISBLANK(AU5:AU9)), "·", bdRateExtend( S5:S9,W5:W9, AQ5:AQ9,AU5:AU9))</f>
        <v>-3.626634307597465E-4</v>
      </c>
      <c r="BQ5" s="50">
        <f>IF( OR(ISBLANK(S5:S9),ISBLANK(AQ5:AQ9), ISBLANK(X5:X9),ISBLANK(AV5:AV9)), "·", bdRateExtend( S5:S9,X5:X9, AQ5:AQ9,AV5:AV9))</f>
        <v>-3.4346174600030643E-4</v>
      </c>
      <c r="BR5" s="50">
        <f>IF( OR(ISBLANK(S5:S9),ISBLANK(AQ5:AQ9), ISBLANK(Y5:Y9),ISBLANK(AW5:AW9)), "·", bdRateExtend( S5:S9,Y5:Y9, AQ5:AQ9,AW5:AW9))</f>
        <v>-3.2318560125987883E-4</v>
      </c>
      <c r="BS5" s="50">
        <f>IF( OR(ISBLANK(S5:S9),ISBLANK(AQ5:AQ9), ISBLANK(Z5:Z9),ISBLANK(AX5:AX9)), "·", bdRateExtend( S5:S9,Z5:Z9, AQ5:AQ9,AX5:AX9))</f>
        <v>-3.135000774113772E-4</v>
      </c>
      <c r="BT5" s="50">
        <f>IF( OR(ISBLANK(S5:S9),ISBLANK(AQ5:AQ9), ISBLANK(AA5:AA9),ISBLANK(AY5:AY9)), "·", bdRateExtend( S5:S9,AA5:AA9, AQ5:AQ9,AY5:AY9))</f>
        <v>-3.089089105425824E-4</v>
      </c>
      <c r="BV5" s="58">
        <f>AN5-P5</f>
        <v>0</v>
      </c>
      <c r="BW5" s="58">
        <f t="shared" ref="BW5:CG20" si="15">AO5-Q5</f>
        <v>0</v>
      </c>
      <c r="BX5" s="58">
        <f t="shared" si="15"/>
        <v>0</v>
      </c>
      <c r="BY5" s="58">
        <f t="shared" si="15"/>
        <v>-656</v>
      </c>
      <c r="BZ5" s="58">
        <f t="shared" si="15"/>
        <v>0</v>
      </c>
      <c r="CA5" s="58">
        <f t="shared" si="15"/>
        <v>-784</v>
      </c>
      <c r="CB5" s="58">
        <f t="shared" si="15"/>
        <v>0</v>
      </c>
      <c r="CC5" s="58">
        <f t="shared" si="15"/>
        <v>0</v>
      </c>
      <c r="CD5" s="58">
        <f t="shared" si="15"/>
        <v>0</v>
      </c>
      <c r="CE5" s="58">
        <f t="shared" si="15"/>
        <v>0</v>
      </c>
      <c r="CF5" s="58">
        <f t="shared" si="15"/>
        <v>0</v>
      </c>
      <c r="CG5" s="58">
        <f t="shared" si="15"/>
        <v>0</v>
      </c>
      <c r="CJ5" t="s">
        <v>233</v>
      </c>
    </row>
    <row r="6" spans="1:88" outlineLevel="1">
      <c r="A6" s="17"/>
      <c r="B6" s="17" t="s">
        <v>51</v>
      </c>
      <c r="C6" s="18" t="s">
        <v>234</v>
      </c>
      <c r="D6" s="17">
        <v>238146391</v>
      </c>
      <c r="E6" s="18">
        <v>10</v>
      </c>
      <c r="F6" s="18">
        <v>32</v>
      </c>
      <c r="G6" s="18">
        <v>30</v>
      </c>
      <c r="I6" s="19">
        <f t="shared" si="0"/>
        <v>1.3552575</v>
      </c>
      <c r="J6" s="20">
        <f t="shared" si="1"/>
        <v>6.0702494542526995E-3</v>
      </c>
      <c r="K6" s="20">
        <f t="shared" si="2"/>
        <v>4.9478809863635516E-3</v>
      </c>
      <c r="L6" s="20">
        <f t="shared" si="3"/>
        <v>3.4412782682060462E-3</v>
      </c>
      <c r="M6" s="20">
        <f t="shared" si="4"/>
        <v>1.1223684678891481E-3</v>
      </c>
      <c r="N6" s="17">
        <f t="shared" si="5"/>
        <v>1178320</v>
      </c>
      <c r="O6" s="20">
        <v>16</v>
      </c>
      <c r="P6" s="21">
        <v>24777501</v>
      </c>
      <c r="Q6" s="21">
        <v>774296.90625</v>
      </c>
      <c r="R6" s="21">
        <v>19924.3125</v>
      </c>
      <c r="S6" s="22">
        <v>1445608</v>
      </c>
      <c r="T6" s="22">
        <v>819528</v>
      </c>
      <c r="U6" s="22">
        <v>358792</v>
      </c>
      <c r="V6" s="22">
        <v>267288</v>
      </c>
      <c r="W6" s="23">
        <v>68.552897000000002</v>
      </c>
      <c r="X6" s="23">
        <v>70.622062</v>
      </c>
      <c r="Y6" s="23">
        <v>33.797455999999997</v>
      </c>
      <c r="Z6" s="23">
        <v>45.493313000000001</v>
      </c>
      <c r="AA6" s="23">
        <v>45.153953000000001</v>
      </c>
      <c r="AB6" s="24">
        <v>3365.99</v>
      </c>
      <c r="AC6" s="24">
        <v>2929.39</v>
      </c>
      <c r="AD6" s="24">
        <v>60.829000000000001</v>
      </c>
      <c r="AE6" s="24">
        <v>13.981</v>
      </c>
      <c r="AG6" s="19">
        <f t="shared" si="6"/>
        <v>1.354635</v>
      </c>
      <c r="AH6" s="20">
        <f t="shared" si="7"/>
        <v>6.0674612532759312E-3</v>
      </c>
      <c r="AI6" s="20">
        <f t="shared" si="8"/>
        <v>4.9445553008611413E-3</v>
      </c>
      <c r="AJ6" s="20">
        <f t="shared" si="9"/>
        <v>3.4412782682060462E-3</v>
      </c>
      <c r="AK6" s="20">
        <f t="shared" si="10"/>
        <v>1.1223684678891481E-3</v>
      </c>
      <c r="AL6" s="17">
        <f t="shared" si="11"/>
        <v>1177528</v>
      </c>
      <c r="AM6" s="20">
        <v>16</v>
      </c>
      <c r="AN6" s="21">
        <v>24777501</v>
      </c>
      <c r="AO6" s="21">
        <v>774296.90625</v>
      </c>
      <c r="AP6" s="21">
        <v>19924.3125</v>
      </c>
      <c r="AQ6" s="22">
        <v>1444944</v>
      </c>
      <c r="AR6" s="22">
        <v>819528</v>
      </c>
      <c r="AS6" s="22">
        <v>358000</v>
      </c>
      <c r="AT6" s="22">
        <v>267288</v>
      </c>
      <c r="AU6" s="23">
        <v>68.552897000000002</v>
      </c>
      <c r="AV6" s="23">
        <v>70.622062</v>
      </c>
      <c r="AW6" s="23">
        <v>33.797455999999997</v>
      </c>
      <c r="AX6" s="23">
        <v>45.493313000000001</v>
      </c>
      <c r="AY6" s="23">
        <v>45.153953000000001</v>
      </c>
      <c r="AZ6" s="24">
        <v>3317.14</v>
      </c>
      <c r="BA6" s="24">
        <v>2949.31</v>
      </c>
      <c r="BB6" s="24">
        <v>63.725999999999999</v>
      </c>
      <c r="BC6" s="24">
        <v>14.313000000000001</v>
      </c>
      <c r="BE6" s="49">
        <f t="shared" si="12"/>
        <v>0.99932785660941004</v>
      </c>
      <c r="BF6" s="25">
        <f t="shared" si="13"/>
        <v>0</v>
      </c>
      <c r="BG6" s="25">
        <f t="shared" si="14"/>
        <v>-1.735509061262519E-4</v>
      </c>
      <c r="BH6" s="25"/>
      <c r="BJ6" s="49"/>
      <c r="BK6" s="49"/>
      <c r="BL6" s="49"/>
      <c r="BM6" s="49"/>
      <c r="BN6" s="49"/>
      <c r="BP6" s="49"/>
      <c r="BQ6" s="49"/>
      <c r="BR6" s="49"/>
      <c r="BS6" s="49"/>
      <c r="BT6" s="49"/>
      <c r="BV6" s="58">
        <f t="shared" ref="BV6:CG39" si="16">AN6-P6</f>
        <v>0</v>
      </c>
      <c r="BW6" s="58">
        <f t="shared" si="15"/>
        <v>0</v>
      </c>
      <c r="BX6" s="58">
        <f t="shared" si="15"/>
        <v>0</v>
      </c>
      <c r="BY6" s="58">
        <f t="shared" si="15"/>
        <v>-664</v>
      </c>
      <c r="BZ6" s="58">
        <f t="shared" si="15"/>
        <v>0</v>
      </c>
      <c r="CA6" s="58">
        <f t="shared" si="15"/>
        <v>-792</v>
      </c>
      <c r="CB6" s="58">
        <f t="shared" si="15"/>
        <v>0</v>
      </c>
      <c r="CC6" s="58">
        <f t="shared" si="15"/>
        <v>0</v>
      </c>
      <c r="CD6" s="58">
        <f t="shared" si="15"/>
        <v>0</v>
      </c>
      <c r="CE6" s="58">
        <f t="shared" si="15"/>
        <v>0</v>
      </c>
      <c r="CF6" s="58">
        <f t="shared" si="15"/>
        <v>0</v>
      </c>
      <c r="CG6" s="58">
        <f t="shared" si="15"/>
        <v>0</v>
      </c>
      <c r="CJ6" t="s">
        <v>233</v>
      </c>
    </row>
    <row r="7" spans="1:88" outlineLevel="1">
      <c r="A7" s="52"/>
      <c r="B7" s="52" t="s">
        <v>51</v>
      </c>
      <c r="C7" s="9" t="s">
        <v>235</v>
      </c>
      <c r="D7" s="52">
        <v>238146391</v>
      </c>
      <c r="E7" s="9">
        <v>10</v>
      </c>
      <c r="F7" s="9">
        <v>32</v>
      </c>
      <c r="G7" s="9">
        <v>30</v>
      </c>
      <c r="I7" s="10">
        <f t="shared" si="0"/>
        <v>1.8754875</v>
      </c>
      <c r="J7" s="11">
        <f t="shared" si="1"/>
        <v>8.4003792440423761E-3</v>
      </c>
      <c r="K7" s="11">
        <f t="shared" si="2"/>
        <v>6.1465050713281648E-3</v>
      </c>
      <c r="L7" s="11">
        <f t="shared" si="3"/>
        <v>4.6399023531706598E-3</v>
      </c>
      <c r="M7" s="11">
        <f t="shared" si="4"/>
        <v>2.2538741727142109E-3</v>
      </c>
      <c r="N7" s="52">
        <f t="shared" si="5"/>
        <v>1463768</v>
      </c>
      <c r="O7" s="11">
        <v>16</v>
      </c>
      <c r="P7" s="12">
        <v>24923704</v>
      </c>
      <c r="Q7" s="12">
        <v>778865.75</v>
      </c>
      <c r="R7" s="12">
        <v>21104.875</v>
      </c>
      <c r="S7" s="13">
        <v>2000520</v>
      </c>
      <c r="T7" s="13">
        <v>1104976</v>
      </c>
      <c r="U7" s="13">
        <v>358792</v>
      </c>
      <c r="V7" s="13">
        <v>536752</v>
      </c>
      <c r="W7" s="14">
        <v>69.837434000000002</v>
      </c>
      <c r="X7" s="14">
        <v>72.274171999999993</v>
      </c>
      <c r="Y7" s="14">
        <v>36.189746999999997</v>
      </c>
      <c r="Z7" s="14">
        <v>46.884202999999999</v>
      </c>
      <c r="AA7" s="14">
        <v>46.664577999999999</v>
      </c>
      <c r="AB7" s="15">
        <v>4014.4</v>
      </c>
      <c r="AC7" s="15">
        <v>4172.47</v>
      </c>
      <c r="AD7" s="15">
        <v>68.725999999999999</v>
      </c>
      <c r="AE7" s="15">
        <v>20.311</v>
      </c>
      <c r="AG7" s="10">
        <f t="shared" si="6"/>
        <v>1.8748724999999999</v>
      </c>
      <c r="AH7" s="11">
        <f t="shared" si="7"/>
        <v>8.3976246358484601E-3</v>
      </c>
      <c r="AI7" s="11">
        <f t="shared" si="8"/>
        <v>6.1432129786086068E-3</v>
      </c>
      <c r="AJ7" s="11">
        <f t="shared" si="9"/>
        <v>4.6399023531706598E-3</v>
      </c>
      <c r="AK7" s="11">
        <f t="shared" si="10"/>
        <v>2.2538741727142109E-3</v>
      </c>
      <c r="AL7" s="52">
        <f t="shared" si="11"/>
        <v>1462984</v>
      </c>
      <c r="AM7" s="11">
        <v>16</v>
      </c>
      <c r="AN7" s="12">
        <v>24923704</v>
      </c>
      <c r="AO7" s="12">
        <v>778865.75</v>
      </c>
      <c r="AP7" s="12">
        <v>21104.875</v>
      </c>
      <c r="AQ7" s="13">
        <v>1999864</v>
      </c>
      <c r="AR7" s="13">
        <v>1104976</v>
      </c>
      <c r="AS7" s="13">
        <v>358008</v>
      </c>
      <c r="AT7" s="13">
        <v>536752</v>
      </c>
      <c r="AU7" s="14">
        <v>69.837434000000002</v>
      </c>
      <c r="AV7" s="14">
        <v>72.274171999999993</v>
      </c>
      <c r="AW7" s="14">
        <v>36.189746999999997</v>
      </c>
      <c r="AX7" s="14">
        <v>46.884202999999999</v>
      </c>
      <c r="AY7" s="14">
        <v>46.664577999999999</v>
      </c>
      <c r="AZ7" s="15">
        <v>3287.71</v>
      </c>
      <c r="BA7" s="15">
        <v>3104.25</v>
      </c>
      <c r="BB7" s="15">
        <v>62.405999999999999</v>
      </c>
      <c r="BC7" s="15">
        <v>13.986000000000001</v>
      </c>
      <c r="BE7" s="50">
        <f t="shared" si="12"/>
        <v>0.99946439599717984</v>
      </c>
      <c r="BF7" s="16">
        <f t="shared" si="13"/>
        <v>0</v>
      </c>
      <c r="BG7" s="16">
        <f t="shared" si="14"/>
        <v>-1.5201478384918587E-4</v>
      </c>
      <c r="BH7" s="16"/>
      <c r="BJ7" s="50"/>
      <c r="BK7" s="50"/>
      <c r="BL7" s="50"/>
      <c r="BM7" s="50"/>
      <c r="BN7" s="50"/>
      <c r="BP7" s="50"/>
      <c r="BQ7" s="50"/>
      <c r="BR7" s="50"/>
      <c r="BS7" s="50"/>
      <c r="BT7" s="50"/>
      <c r="BV7" s="58">
        <f t="shared" si="16"/>
        <v>0</v>
      </c>
      <c r="BW7" s="58">
        <f t="shared" si="15"/>
        <v>0</v>
      </c>
      <c r="BX7" s="58">
        <f t="shared" si="15"/>
        <v>0</v>
      </c>
      <c r="BY7" s="58">
        <f t="shared" si="15"/>
        <v>-656</v>
      </c>
      <c r="BZ7" s="58">
        <f t="shared" si="15"/>
        <v>0</v>
      </c>
      <c r="CA7" s="58">
        <f t="shared" si="15"/>
        <v>-784</v>
      </c>
      <c r="CB7" s="58">
        <f t="shared" si="15"/>
        <v>0</v>
      </c>
      <c r="CC7" s="58">
        <f t="shared" si="15"/>
        <v>0</v>
      </c>
      <c r="CD7" s="58">
        <f t="shared" si="15"/>
        <v>0</v>
      </c>
      <c r="CE7" s="58">
        <f t="shared" si="15"/>
        <v>0</v>
      </c>
      <c r="CF7" s="58">
        <f t="shared" si="15"/>
        <v>0</v>
      </c>
      <c r="CG7" s="58">
        <f t="shared" si="15"/>
        <v>0</v>
      </c>
      <c r="CJ7" t="s">
        <v>233</v>
      </c>
    </row>
    <row r="8" spans="1:88" outlineLevel="1">
      <c r="A8" s="17"/>
      <c r="B8" s="17" t="s">
        <v>51</v>
      </c>
      <c r="C8" s="18" t="s">
        <v>236</v>
      </c>
      <c r="D8" s="17">
        <v>238146391</v>
      </c>
      <c r="E8" s="18">
        <v>10</v>
      </c>
      <c r="F8" s="18">
        <v>32</v>
      </c>
      <c r="G8" s="18">
        <v>30</v>
      </c>
      <c r="I8" s="19">
        <f t="shared" si="0"/>
        <v>3.0929700000000002</v>
      </c>
      <c r="J8" s="20">
        <f t="shared" si="1"/>
        <v>1.3853529277292302E-2</v>
      </c>
      <c r="K8" s="20">
        <f t="shared" si="2"/>
        <v>8.8610034825176084E-3</v>
      </c>
      <c r="L8" s="20">
        <f t="shared" si="3"/>
        <v>7.3544007643601035E-3</v>
      </c>
      <c r="M8" s="20">
        <f t="shared" si="4"/>
        <v>4.9925257947746942E-3</v>
      </c>
      <c r="N8" s="17">
        <f t="shared" si="5"/>
        <v>2110216</v>
      </c>
      <c r="O8" s="20">
        <v>16</v>
      </c>
      <c r="P8" s="21">
        <v>25894561</v>
      </c>
      <c r="Q8" s="21">
        <v>809205.03125</v>
      </c>
      <c r="R8" s="21">
        <v>24362.65625</v>
      </c>
      <c r="S8" s="22">
        <v>3299168</v>
      </c>
      <c r="T8" s="22">
        <v>1751424</v>
      </c>
      <c r="U8" s="22">
        <v>358792</v>
      </c>
      <c r="V8" s="22">
        <v>1188952</v>
      </c>
      <c r="W8" s="23">
        <v>70.899381000000005</v>
      </c>
      <c r="X8" s="23">
        <v>73.460274999999996</v>
      </c>
      <c r="Y8" s="23">
        <v>38.671903</v>
      </c>
      <c r="Z8" s="23">
        <v>48.122497000000003</v>
      </c>
      <c r="AA8" s="23">
        <v>48.141522000000002</v>
      </c>
      <c r="AB8" s="24">
        <v>3727.54</v>
      </c>
      <c r="AC8" s="24">
        <v>3812.47</v>
      </c>
      <c r="AD8" s="24">
        <v>69.572999999999993</v>
      </c>
      <c r="AE8" s="24">
        <v>16.606000000000002</v>
      </c>
      <c r="AG8" s="19">
        <f t="shared" si="6"/>
        <v>3.0923474999999998</v>
      </c>
      <c r="AH8" s="20">
        <f t="shared" si="7"/>
        <v>1.3850741076315534E-2</v>
      </c>
      <c r="AI8" s="20">
        <f t="shared" si="8"/>
        <v>8.8576777970151982E-3</v>
      </c>
      <c r="AJ8" s="20">
        <f t="shared" si="9"/>
        <v>7.3544007643601035E-3</v>
      </c>
      <c r="AK8" s="20">
        <f t="shared" si="10"/>
        <v>4.9925257947746942E-3</v>
      </c>
      <c r="AL8" s="17">
        <f t="shared" si="11"/>
        <v>2109424</v>
      </c>
      <c r="AM8" s="20">
        <v>16</v>
      </c>
      <c r="AN8" s="21">
        <v>25894561</v>
      </c>
      <c r="AO8" s="21">
        <v>809205.03125</v>
      </c>
      <c r="AP8" s="21">
        <v>24362.65625</v>
      </c>
      <c r="AQ8" s="22">
        <v>3298504</v>
      </c>
      <c r="AR8" s="22">
        <v>1751424</v>
      </c>
      <c r="AS8" s="22">
        <v>358000</v>
      </c>
      <c r="AT8" s="22">
        <v>1188952</v>
      </c>
      <c r="AU8" s="23">
        <v>70.899381000000005</v>
      </c>
      <c r="AV8" s="23">
        <v>73.460274999999996</v>
      </c>
      <c r="AW8" s="23">
        <v>38.671903</v>
      </c>
      <c r="AX8" s="23">
        <v>48.122497000000003</v>
      </c>
      <c r="AY8" s="23">
        <v>48.141522000000002</v>
      </c>
      <c r="AZ8" s="24">
        <v>3329.32</v>
      </c>
      <c r="BA8" s="24">
        <v>3204.36</v>
      </c>
      <c r="BB8" s="24">
        <v>61.555999999999997</v>
      </c>
      <c r="BC8" s="24">
        <v>13.86</v>
      </c>
      <c r="BE8" s="49">
        <f t="shared" si="12"/>
        <v>0.99962468297084284</v>
      </c>
      <c r="BF8" s="25">
        <f t="shared" si="13"/>
        <v>0</v>
      </c>
      <c r="BG8" s="25">
        <f t="shared" si="14"/>
        <v>-1.1135105020310121E-4</v>
      </c>
      <c r="BH8" s="25"/>
      <c r="BJ8" s="49"/>
      <c r="BK8" s="49"/>
      <c r="BL8" s="49"/>
      <c r="BM8" s="49"/>
      <c r="BN8" s="49"/>
      <c r="BP8" s="49"/>
      <c r="BQ8" s="49"/>
      <c r="BR8" s="49"/>
      <c r="BS8" s="49"/>
      <c r="BT8" s="49"/>
      <c r="BV8" s="58">
        <f t="shared" si="16"/>
        <v>0</v>
      </c>
      <c r="BW8" s="58">
        <f t="shared" si="15"/>
        <v>0</v>
      </c>
      <c r="BX8" s="58">
        <f t="shared" si="15"/>
        <v>0</v>
      </c>
      <c r="BY8" s="58">
        <f t="shared" si="15"/>
        <v>-664</v>
      </c>
      <c r="BZ8" s="58">
        <f t="shared" si="15"/>
        <v>0</v>
      </c>
      <c r="CA8" s="58">
        <f t="shared" si="15"/>
        <v>-792</v>
      </c>
      <c r="CB8" s="58">
        <f t="shared" si="15"/>
        <v>0</v>
      </c>
      <c r="CC8" s="58">
        <f t="shared" si="15"/>
        <v>0</v>
      </c>
      <c r="CD8" s="58">
        <f t="shared" si="15"/>
        <v>0</v>
      </c>
      <c r="CE8" s="58">
        <f t="shared" si="15"/>
        <v>0</v>
      </c>
      <c r="CF8" s="58">
        <f t="shared" si="15"/>
        <v>0</v>
      </c>
      <c r="CG8" s="58">
        <f t="shared" si="15"/>
        <v>0</v>
      </c>
      <c r="CJ8" t="s">
        <v>233</v>
      </c>
    </row>
    <row r="9" spans="1:88" ht="16" outlineLevel="1" thickBot="1">
      <c r="A9" s="52"/>
      <c r="B9" s="26" t="s">
        <v>51</v>
      </c>
      <c r="C9" s="27" t="s">
        <v>237</v>
      </c>
      <c r="D9" s="26">
        <v>238146391</v>
      </c>
      <c r="E9" s="27">
        <v>10</v>
      </c>
      <c r="F9" s="27">
        <v>32</v>
      </c>
      <c r="G9" s="27">
        <v>30</v>
      </c>
      <c r="I9" s="28">
        <f t="shared" si="0"/>
        <v>6.3083549999999997</v>
      </c>
      <c r="J9" s="29">
        <f t="shared" si="1"/>
        <v>2.8255359956305195E-2</v>
      </c>
      <c r="K9" s="29">
        <f t="shared" si="2"/>
        <v>1.5570053295495878E-2</v>
      </c>
      <c r="L9" s="29">
        <f t="shared" si="3"/>
        <v>1.2147654171253009E-2</v>
      </c>
      <c r="M9" s="29">
        <f t="shared" si="4"/>
        <v>1.2685306660809317E-2</v>
      </c>
      <c r="N9" s="26">
        <f t="shared" si="5"/>
        <v>3707952</v>
      </c>
      <c r="O9" s="29">
        <v>16</v>
      </c>
      <c r="P9" s="30">
        <v>24903158</v>
      </c>
      <c r="Q9" s="30">
        <v>778223.6875</v>
      </c>
      <c r="R9" s="30">
        <v>10582.96875</v>
      </c>
      <c r="S9" s="31">
        <v>6728912</v>
      </c>
      <c r="T9" s="31">
        <v>2892920</v>
      </c>
      <c r="U9" s="31">
        <v>815032</v>
      </c>
      <c r="V9" s="31">
        <v>3020960</v>
      </c>
      <c r="W9" s="32">
        <v>71.932044000000005</v>
      </c>
      <c r="X9" s="32">
        <v>75.246166000000002</v>
      </c>
      <c r="Y9" s="32">
        <v>41.135641</v>
      </c>
      <c r="Z9" s="32">
        <v>49.545462000000001</v>
      </c>
      <c r="AA9" s="32">
        <v>49.686588</v>
      </c>
      <c r="AB9" s="33">
        <v>3406.56</v>
      </c>
      <c r="AC9" s="33">
        <v>3796.83</v>
      </c>
      <c r="AD9" s="33">
        <v>60.694000000000003</v>
      </c>
      <c r="AE9" s="33">
        <v>16.239999999999998</v>
      </c>
      <c r="AG9" s="28">
        <f t="shared" si="6"/>
        <v>6.3077399999999999</v>
      </c>
      <c r="AH9" s="29">
        <f t="shared" si="7"/>
        <v>2.8252605348111279E-2</v>
      </c>
      <c r="AI9" s="29">
        <f t="shared" si="8"/>
        <v>1.556676120277632E-2</v>
      </c>
      <c r="AJ9" s="29">
        <f t="shared" si="9"/>
        <v>1.2147654171253009E-2</v>
      </c>
      <c r="AK9" s="29">
        <f t="shared" si="10"/>
        <v>1.2685306660809317E-2</v>
      </c>
      <c r="AL9" s="26">
        <f t="shared" si="11"/>
        <v>3707168</v>
      </c>
      <c r="AM9" s="29">
        <v>16</v>
      </c>
      <c r="AN9" s="30">
        <v>24903158</v>
      </c>
      <c r="AO9" s="30">
        <v>778223.6875</v>
      </c>
      <c r="AP9" s="30">
        <v>10582.96875</v>
      </c>
      <c r="AQ9" s="31">
        <v>6728256</v>
      </c>
      <c r="AR9" s="31">
        <v>2892920</v>
      </c>
      <c r="AS9" s="31">
        <v>814248</v>
      </c>
      <c r="AT9" s="31">
        <v>3020960</v>
      </c>
      <c r="AU9" s="32">
        <v>71.932044000000005</v>
      </c>
      <c r="AV9" s="32">
        <v>75.246166000000002</v>
      </c>
      <c r="AW9" s="32">
        <v>41.135641</v>
      </c>
      <c r="AX9" s="32">
        <v>49.545462000000001</v>
      </c>
      <c r="AY9" s="32">
        <v>49.686588</v>
      </c>
      <c r="AZ9" s="33">
        <v>4018.41</v>
      </c>
      <c r="BA9" s="33">
        <v>4940.09</v>
      </c>
      <c r="BB9" s="33">
        <v>70.522000000000006</v>
      </c>
      <c r="BC9" s="33">
        <v>23.152000000000001</v>
      </c>
      <c r="BE9" s="34">
        <f t="shared" si="12"/>
        <v>0.99978856252723869</v>
      </c>
      <c r="BF9" s="35">
        <f t="shared" si="13"/>
        <v>0</v>
      </c>
      <c r="BG9" s="35">
        <f t="shared" si="14"/>
        <v>-6.2796757170469064E-5</v>
      </c>
      <c r="BH9" s="35"/>
      <c r="BJ9" s="34"/>
      <c r="BK9" s="34"/>
      <c r="BL9" s="34"/>
      <c r="BM9" s="34"/>
      <c r="BN9" s="34"/>
      <c r="BP9" s="34"/>
      <c r="BQ9" s="34"/>
      <c r="BR9" s="34"/>
      <c r="BS9" s="34"/>
      <c r="BT9" s="34"/>
      <c r="BV9" s="58">
        <f t="shared" si="16"/>
        <v>0</v>
      </c>
      <c r="BW9" s="58">
        <f t="shared" si="15"/>
        <v>0</v>
      </c>
      <c r="BX9" s="58">
        <f t="shared" si="15"/>
        <v>0</v>
      </c>
      <c r="BY9" s="58">
        <f t="shared" si="15"/>
        <v>-656</v>
      </c>
      <c r="BZ9" s="58">
        <f t="shared" si="15"/>
        <v>0</v>
      </c>
      <c r="CA9" s="58">
        <f t="shared" si="15"/>
        <v>-784</v>
      </c>
      <c r="CB9" s="58">
        <f t="shared" si="15"/>
        <v>0</v>
      </c>
      <c r="CC9" s="58">
        <f t="shared" si="15"/>
        <v>0</v>
      </c>
      <c r="CD9" s="58">
        <f t="shared" si="15"/>
        <v>0</v>
      </c>
      <c r="CE9" s="58">
        <f t="shared" si="15"/>
        <v>0</v>
      </c>
      <c r="CF9" s="58">
        <f t="shared" si="15"/>
        <v>0</v>
      </c>
      <c r="CG9" s="58">
        <f t="shared" si="15"/>
        <v>0</v>
      </c>
      <c r="CJ9" t="s">
        <v>233</v>
      </c>
    </row>
    <row r="10" spans="1:88">
      <c r="A10" s="17"/>
      <c r="B10" s="17" t="s">
        <v>59</v>
      </c>
      <c r="C10" s="18" t="s">
        <v>232</v>
      </c>
      <c r="D10" s="17">
        <v>218121242</v>
      </c>
      <c r="E10" s="18">
        <v>10</v>
      </c>
      <c r="F10" s="18">
        <v>32</v>
      </c>
      <c r="G10" s="18">
        <v>30</v>
      </c>
      <c r="I10" s="19">
        <f t="shared" si="0"/>
        <v>1.9765725000000001</v>
      </c>
      <c r="J10" s="20">
        <f t="shared" si="1"/>
        <v>9.6659269893575976E-3</v>
      </c>
      <c r="K10" s="20">
        <f t="shared" si="2"/>
        <v>7.2509765004914106E-3</v>
      </c>
      <c r="L10" s="20">
        <f t="shared" si="3"/>
        <v>4.1104845716952226E-3</v>
      </c>
      <c r="M10" s="20">
        <f t="shared" si="4"/>
        <v>2.4149504888661875E-3</v>
      </c>
      <c r="N10" s="17">
        <f t="shared" si="5"/>
        <v>1581592</v>
      </c>
      <c r="O10" s="20">
        <v>16</v>
      </c>
      <c r="P10" s="21">
        <v>20942558</v>
      </c>
      <c r="Q10" s="21">
        <v>654454.9375</v>
      </c>
      <c r="R10" s="21">
        <v>18943.59375</v>
      </c>
      <c r="S10" s="22">
        <v>2108344</v>
      </c>
      <c r="T10" s="22">
        <v>896584</v>
      </c>
      <c r="U10" s="22">
        <v>685008</v>
      </c>
      <c r="V10" s="22">
        <v>526752</v>
      </c>
      <c r="W10" s="23">
        <v>65.984049999999996</v>
      </c>
      <c r="X10" s="23">
        <v>67.859694000000005</v>
      </c>
      <c r="Y10" s="23">
        <v>31.012543999999998</v>
      </c>
      <c r="Z10" s="23">
        <v>38.769036999999997</v>
      </c>
      <c r="AA10" s="23">
        <v>30.066780999999999</v>
      </c>
      <c r="AB10" s="24">
        <v>3792.86</v>
      </c>
      <c r="AC10" s="24">
        <v>3624.36</v>
      </c>
      <c r="AD10" s="24">
        <v>53.113</v>
      </c>
      <c r="AE10" s="24">
        <v>15.522</v>
      </c>
      <c r="AG10" s="19">
        <f t="shared" si="6"/>
        <v>1.9574625000000001</v>
      </c>
      <c r="AH10" s="20">
        <f t="shared" si="7"/>
        <v>9.5724743764296003E-3</v>
      </c>
      <c r="AI10" s="20">
        <f t="shared" si="8"/>
        <v>7.1575972412627285E-3</v>
      </c>
      <c r="AJ10" s="20">
        <f t="shared" si="9"/>
        <v>4.1200939063055584E-3</v>
      </c>
      <c r="AK10" s="20">
        <f t="shared" si="10"/>
        <v>2.4142903055723477E-3</v>
      </c>
      <c r="AL10" s="17">
        <f t="shared" si="11"/>
        <v>1561224</v>
      </c>
      <c r="AM10" s="20">
        <v>16</v>
      </c>
      <c r="AN10" s="21">
        <v>21022693</v>
      </c>
      <c r="AO10" s="21">
        <v>656959.15625</v>
      </c>
      <c r="AP10" s="21">
        <v>19029.4375</v>
      </c>
      <c r="AQ10" s="22">
        <v>2087960</v>
      </c>
      <c r="AR10" s="22">
        <v>898680</v>
      </c>
      <c r="AS10" s="22">
        <v>662544</v>
      </c>
      <c r="AT10" s="22">
        <v>526608</v>
      </c>
      <c r="AU10" s="23">
        <v>65.986408999999995</v>
      </c>
      <c r="AV10" s="23">
        <v>67.859933999999996</v>
      </c>
      <c r="AW10" s="23">
        <v>31.008527999999998</v>
      </c>
      <c r="AX10" s="23">
        <v>38.737394000000002</v>
      </c>
      <c r="AY10" s="23">
        <v>30.10745</v>
      </c>
      <c r="AZ10" s="24">
        <v>4024.27</v>
      </c>
      <c r="BA10" s="24">
        <v>4544.75</v>
      </c>
      <c r="BB10" s="24">
        <v>61.308999999999997</v>
      </c>
      <c r="BC10" s="24">
        <v>21.928999999999998</v>
      </c>
      <c r="BE10" s="49">
        <f t="shared" si="12"/>
        <v>0.98712183673159692</v>
      </c>
      <c r="BF10" s="25">
        <f t="shared" si="13"/>
        <v>2.0332503906574095E-5</v>
      </c>
      <c r="BG10" s="25">
        <f t="shared" si="14"/>
        <v>-2.4314502212712252E-3</v>
      </c>
      <c r="BH10" s="25">
        <f t="array" ref="BH10">AVERAGE(AL10:AL14/AQ10:AQ14) - AVERAGE(N10:N14/S10:S14)</f>
        <v>-1.7747518986249711E-3</v>
      </c>
      <c r="BJ10" s="49">
        <f>IF( OR(ISBLANK(N10:N14),ISBLANK(AL10:AL14), ISBLANK(W10:W14),ISBLANK(AU10:AU14)), "·", bdRateExtend( N10:N14,W10:W14, AL10:AL14,AU10:AU14))</f>
        <v>-9.2267850312367505E-3</v>
      </c>
      <c r="BK10" s="49">
        <f>IF( OR(ISBLANK(N10:N14),ISBLANK(AL10:AL14), ISBLANK(X10:X14),ISBLANK(AV10:AV14)), "·", bdRateExtend( N10:N14,X10:X14, AL10:AL14,AV10:AV14))</f>
        <v>-8.9881595889512722E-3</v>
      </c>
      <c r="BL10" s="49">
        <f>IF( OR(ISBLANK(V10:V14),ISBLANK(AT10:AT14), ISBLANK(Y10:Y14),ISBLANK(AW10:AW14)), "·", bdRateExtend( V10:V14,Y10:Y14, AT10:AT14,AW10:AW14))</f>
        <v>9.0318256368204786E-4</v>
      </c>
      <c r="BM10" s="49">
        <f>IF( OR(ISBLANK(V10:V14),ISBLANK(AT10:AT14), ISBLANK(Z10:Z14),ISBLANK(AX10:AX14)), "·", bdRateExtend( V10:V14,Z10:Z14, AT10:AT14,AX10:AX14))</f>
        <v>3.697353301734152E-3</v>
      </c>
      <c r="BN10" s="49">
        <f>IF( OR(ISBLANK(V10:V14),ISBLANK(AT10:AT14), ISBLANK(AA10:AA14),ISBLANK(AY10:AY14)), "·", bdRateExtend( V10:V14,AA10:AA14, AT10:AT14,AY10:AY14))</f>
        <v>-1.4694761765257081E-3</v>
      </c>
      <c r="BP10" s="49">
        <f>IF( OR(ISBLANK(S10:S14),ISBLANK(AQ10:AQ14), ISBLANK(W10:W14),ISBLANK(AU10:AU14)), "·", bdRateExtend( S10:S14,W10:W14, AQ10:AQ14,AU10:AU14))</f>
        <v>-6.0922411222458228E-3</v>
      </c>
      <c r="BQ10" s="49">
        <f>IF( OR(ISBLANK(S10:S14),ISBLANK(AQ10:AQ14), ISBLANK(X10:X14),ISBLANK(AV10:AV14)), "·", bdRateExtend( S10:S14,X10:X14, AQ10:AQ14,AV10:AV14))</f>
        <v>-6.1774101387361835E-3</v>
      </c>
      <c r="BR10" s="49">
        <f>IF( OR(ISBLANK(S10:S14),ISBLANK(AQ10:AQ14), ISBLANK(Y10:Y14),ISBLANK(AW10:AW14)), "·", bdRateExtend( S10:S14,Y10:Y14, AQ10:AQ14,AW10:AW14))</f>
        <v>-4.3869192337810947E-3</v>
      </c>
      <c r="BS10" s="49">
        <f>IF( OR(ISBLANK(S10:S14),ISBLANK(AQ10:AQ14), ISBLANK(Z10:Z14),ISBLANK(AX10:AX14)), "·", bdRateExtend( S10:S14,Z10:Z14, AQ10:AQ14,AX10:AX14))</f>
        <v>-3.0663810863696961E-3</v>
      </c>
      <c r="BT10" s="49">
        <f>IF( OR(ISBLANK(S10:S14),ISBLANK(AQ10:AQ14), ISBLANK(AA10:AA14),ISBLANK(AY10:AY14)), "·", bdRateExtend( S10:S14,AA10:AA14, AQ10:AQ14,AY10:AY14))</f>
        <v>-6.0993906881761095E-3</v>
      </c>
      <c r="BV10" s="58">
        <f t="shared" si="16"/>
        <v>80135</v>
      </c>
      <c r="BW10" s="58">
        <f t="shared" si="15"/>
        <v>2504.21875</v>
      </c>
      <c r="BX10" s="58">
        <f t="shared" si="15"/>
        <v>85.84375</v>
      </c>
      <c r="BY10" s="58">
        <f t="shared" si="15"/>
        <v>-20384</v>
      </c>
      <c r="BZ10" s="58">
        <f t="shared" si="15"/>
        <v>2096</v>
      </c>
      <c r="CA10" s="58">
        <f t="shared" si="15"/>
        <v>-22464</v>
      </c>
      <c r="CB10" s="58">
        <f t="shared" si="15"/>
        <v>-144</v>
      </c>
      <c r="CC10" s="58">
        <f t="shared" si="15"/>
        <v>2.3589999999984457E-3</v>
      </c>
      <c r="CD10" s="58">
        <f t="shared" si="15"/>
        <v>2.3999999999091415E-4</v>
      </c>
      <c r="CE10" s="58">
        <f t="shared" si="15"/>
        <v>-4.0160000000000196E-3</v>
      </c>
      <c r="CF10" s="58">
        <f t="shared" si="15"/>
        <v>-3.1642999999995425E-2</v>
      </c>
      <c r="CG10" s="58">
        <f t="shared" si="15"/>
        <v>4.0669000000001176E-2</v>
      </c>
      <c r="CJ10" t="s">
        <v>587</v>
      </c>
    </row>
    <row r="11" spans="1:88" outlineLevel="1">
      <c r="A11" s="52"/>
      <c r="B11" s="52" t="s">
        <v>59</v>
      </c>
      <c r="C11" s="9" t="s">
        <v>234</v>
      </c>
      <c r="D11" s="52">
        <v>218121242</v>
      </c>
      <c r="E11" s="9">
        <v>10</v>
      </c>
      <c r="F11" s="9">
        <v>32</v>
      </c>
      <c r="G11" s="9">
        <v>30</v>
      </c>
      <c r="I11" s="10">
        <f t="shared" si="0"/>
        <v>2.6997675000000001</v>
      </c>
      <c r="J11" s="11">
        <f t="shared" si="1"/>
        <v>1.3202528894457699E-2</v>
      </c>
      <c r="K11" s="11">
        <f t="shared" si="2"/>
        <v>8.8998576305557627E-3</v>
      </c>
      <c r="L11" s="11">
        <f t="shared" si="3"/>
        <v>5.7593657017595747E-3</v>
      </c>
      <c r="M11" s="11">
        <f t="shared" si="4"/>
        <v>4.302671263901936E-3</v>
      </c>
      <c r="N11" s="52">
        <f t="shared" si="5"/>
        <v>1941248</v>
      </c>
      <c r="O11" s="11">
        <v>16</v>
      </c>
      <c r="P11" s="12">
        <v>22233167</v>
      </c>
      <c r="Q11" s="12">
        <v>694786.46875</v>
      </c>
      <c r="R11" s="12">
        <v>23204.09375</v>
      </c>
      <c r="S11" s="13">
        <v>2879752</v>
      </c>
      <c r="T11" s="13">
        <v>1256240</v>
      </c>
      <c r="U11" s="13">
        <v>685008</v>
      </c>
      <c r="V11" s="13">
        <v>938504</v>
      </c>
      <c r="W11" s="14">
        <v>67.674730999999994</v>
      </c>
      <c r="X11" s="14">
        <v>69.753456</v>
      </c>
      <c r="Y11" s="14">
        <v>32.861966000000002</v>
      </c>
      <c r="Z11" s="14">
        <v>39.685718999999999</v>
      </c>
      <c r="AA11" s="14">
        <v>32.241593999999999</v>
      </c>
      <c r="AB11" s="15">
        <v>3972.02</v>
      </c>
      <c r="AC11" s="15">
        <v>4753.7700000000004</v>
      </c>
      <c r="AD11" s="15">
        <v>62.247</v>
      </c>
      <c r="AE11" s="15">
        <v>19.843</v>
      </c>
      <c r="AG11" s="10">
        <f t="shared" si="6"/>
        <v>2.6793149999999999</v>
      </c>
      <c r="AH11" s="11">
        <f t="shared" si="7"/>
        <v>1.310251112544096E-2</v>
      </c>
      <c r="AI11" s="11">
        <f t="shared" si="8"/>
        <v>8.8005367216825222E-3</v>
      </c>
      <c r="AJ11" s="11">
        <f t="shared" si="9"/>
        <v>5.7630333867253513E-3</v>
      </c>
      <c r="AK11" s="11">
        <f t="shared" si="10"/>
        <v>4.3013875741639137E-3</v>
      </c>
      <c r="AL11" s="52">
        <f t="shared" si="11"/>
        <v>1919584</v>
      </c>
      <c r="AM11" s="11">
        <v>16</v>
      </c>
      <c r="AN11" s="12">
        <v>22225091</v>
      </c>
      <c r="AO11" s="12">
        <v>694534.09375</v>
      </c>
      <c r="AP11" s="12">
        <v>23225.90625</v>
      </c>
      <c r="AQ11" s="13">
        <v>2857936</v>
      </c>
      <c r="AR11" s="13">
        <v>1257040</v>
      </c>
      <c r="AS11" s="13">
        <v>662544</v>
      </c>
      <c r="AT11" s="13">
        <v>938224</v>
      </c>
      <c r="AU11" s="14">
        <v>67.670468999999997</v>
      </c>
      <c r="AV11" s="14">
        <v>69.746769</v>
      </c>
      <c r="AW11" s="14">
        <v>32.849178000000002</v>
      </c>
      <c r="AX11" s="14">
        <v>39.670591000000002</v>
      </c>
      <c r="AY11" s="14">
        <v>32.234347</v>
      </c>
      <c r="AZ11" s="15">
        <v>3221.18</v>
      </c>
      <c r="BA11" s="15">
        <v>3572.95</v>
      </c>
      <c r="BB11" s="15">
        <v>55.249000000000002</v>
      </c>
      <c r="BC11" s="15">
        <v>15.071999999999999</v>
      </c>
      <c r="BE11" s="50">
        <f t="shared" si="12"/>
        <v>0.98884016879862846</v>
      </c>
      <c r="BF11" s="16">
        <f t="shared" si="13"/>
        <v>4.3541678905592573E-5</v>
      </c>
      <c r="BG11" s="16">
        <f t="shared" si="14"/>
        <v>-2.4345471805731211E-3</v>
      </c>
      <c r="BH11" s="16"/>
      <c r="BJ11" s="50"/>
      <c r="BK11" s="50"/>
      <c r="BL11" s="50"/>
      <c r="BM11" s="50"/>
      <c r="BN11" s="50"/>
      <c r="BP11" s="50"/>
      <c r="BQ11" s="50"/>
      <c r="BR11" s="50"/>
      <c r="BS11" s="50"/>
      <c r="BT11" s="50"/>
      <c r="BV11" s="58">
        <f t="shared" si="16"/>
        <v>-8076</v>
      </c>
      <c r="BW11" s="58">
        <f t="shared" si="15"/>
        <v>-252.375</v>
      </c>
      <c r="BX11" s="58">
        <f t="shared" si="15"/>
        <v>21.8125</v>
      </c>
      <c r="BY11" s="58">
        <f t="shared" si="15"/>
        <v>-21816</v>
      </c>
      <c r="BZ11" s="58">
        <f t="shared" si="15"/>
        <v>800</v>
      </c>
      <c r="CA11" s="58">
        <f t="shared" si="15"/>
        <v>-22464</v>
      </c>
      <c r="CB11" s="58">
        <f t="shared" si="15"/>
        <v>-280</v>
      </c>
      <c r="CC11" s="58">
        <f t="shared" si="15"/>
        <v>-4.2619999999971014E-3</v>
      </c>
      <c r="CD11" s="58">
        <f t="shared" si="15"/>
        <v>-6.6869999999994434E-3</v>
      </c>
      <c r="CE11" s="58">
        <f t="shared" si="15"/>
        <v>-1.2788000000000466E-2</v>
      </c>
      <c r="CF11" s="58">
        <f t="shared" si="15"/>
        <v>-1.5127999999997144E-2</v>
      </c>
      <c r="CG11" s="58">
        <f t="shared" si="15"/>
        <v>-7.2469999999995593E-3</v>
      </c>
      <c r="CJ11" t="s">
        <v>587</v>
      </c>
    </row>
    <row r="12" spans="1:88" outlineLevel="1">
      <c r="A12" s="17"/>
      <c r="B12" s="17" t="s">
        <v>59</v>
      </c>
      <c r="C12" s="18" t="s">
        <v>235</v>
      </c>
      <c r="D12" s="17">
        <v>218121242</v>
      </c>
      <c r="E12" s="18">
        <v>10</v>
      </c>
      <c r="F12" s="18">
        <v>32</v>
      </c>
      <c r="G12" s="18">
        <v>30</v>
      </c>
      <c r="I12" s="19">
        <f t="shared" si="0"/>
        <v>3.8493075000000001</v>
      </c>
      <c r="J12" s="20">
        <f t="shared" si="1"/>
        <v>1.8824062995203374E-2</v>
      </c>
      <c r="K12" s="20">
        <f t="shared" si="2"/>
        <v>1.141757665216302E-2</v>
      </c>
      <c r="L12" s="20">
        <f t="shared" si="3"/>
        <v>8.2770847233668322E-3</v>
      </c>
      <c r="M12" s="20">
        <f t="shared" si="4"/>
        <v>7.4064863430403534E-3</v>
      </c>
      <c r="N12" s="17">
        <f t="shared" si="5"/>
        <v>2490416</v>
      </c>
      <c r="O12" s="20">
        <v>16</v>
      </c>
      <c r="P12" s="21">
        <v>22569901</v>
      </c>
      <c r="Q12" s="21">
        <v>705309.40625</v>
      </c>
      <c r="R12" s="21">
        <v>24721.9375</v>
      </c>
      <c r="S12" s="22">
        <v>4105928</v>
      </c>
      <c r="T12" s="22">
        <v>1805408</v>
      </c>
      <c r="U12" s="22">
        <v>685008</v>
      </c>
      <c r="V12" s="22">
        <v>1615512</v>
      </c>
      <c r="W12" s="23">
        <v>69.009450000000001</v>
      </c>
      <c r="X12" s="23">
        <v>71.379971999999995</v>
      </c>
      <c r="Y12" s="23">
        <v>34.860587000000002</v>
      </c>
      <c r="Z12" s="23">
        <v>40.655971999999998</v>
      </c>
      <c r="AA12" s="23">
        <v>34.140081000000002</v>
      </c>
      <c r="AB12" s="24">
        <v>3414.9</v>
      </c>
      <c r="AC12" s="24">
        <v>3946.13</v>
      </c>
      <c r="AD12" s="24">
        <v>57.033000000000001</v>
      </c>
      <c r="AE12" s="24">
        <v>15.938000000000001</v>
      </c>
      <c r="AG12" s="19">
        <f t="shared" si="6"/>
        <v>3.8224125</v>
      </c>
      <c r="AH12" s="20">
        <f t="shared" si="7"/>
        <v>1.8692539812330614E-2</v>
      </c>
      <c r="AI12" s="20">
        <f t="shared" si="8"/>
        <v>1.1306995950444845E-2</v>
      </c>
      <c r="AJ12" s="20">
        <f t="shared" si="9"/>
        <v>8.2695292923373326E-3</v>
      </c>
      <c r="AK12" s="20">
        <f t="shared" si="10"/>
        <v>7.3849570322912427E-3</v>
      </c>
      <c r="AL12" s="17">
        <f t="shared" si="11"/>
        <v>2466296</v>
      </c>
      <c r="AM12" s="20">
        <v>16</v>
      </c>
      <c r="AN12" s="21">
        <v>22547007</v>
      </c>
      <c r="AO12" s="21">
        <v>704593.96875</v>
      </c>
      <c r="AP12" s="21">
        <v>24701.25</v>
      </c>
      <c r="AQ12" s="22">
        <v>4077240</v>
      </c>
      <c r="AR12" s="22">
        <v>1803760</v>
      </c>
      <c r="AS12" s="22">
        <v>662536</v>
      </c>
      <c r="AT12" s="22">
        <v>1610816</v>
      </c>
      <c r="AU12" s="23">
        <v>69.008019000000004</v>
      </c>
      <c r="AV12" s="23">
        <v>71.384225000000001</v>
      </c>
      <c r="AW12" s="23">
        <v>34.861871999999998</v>
      </c>
      <c r="AX12" s="23">
        <v>40.632283999999999</v>
      </c>
      <c r="AY12" s="23">
        <v>34.134050000000002</v>
      </c>
      <c r="AZ12" s="24">
        <v>4153.8100000000004</v>
      </c>
      <c r="BA12" s="24">
        <v>5170.5600000000004</v>
      </c>
      <c r="BB12" s="24">
        <v>65.701999999999998</v>
      </c>
      <c r="BC12" s="24">
        <v>19.291</v>
      </c>
      <c r="BE12" s="49">
        <f t="shared" si="12"/>
        <v>0.99031487108980987</v>
      </c>
      <c r="BF12" s="25">
        <f t="shared" si="13"/>
        <v>6.2297429203259092E-6</v>
      </c>
      <c r="BG12" s="25">
        <f t="shared" si="14"/>
        <v>-1.648059851180661E-3</v>
      </c>
      <c r="BH12" s="25"/>
      <c r="BJ12" s="49"/>
      <c r="BK12" s="49"/>
      <c r="BL12" s="49"/>
      <c r="BM12" s="49"/>
      <c r="BN12" s="49"/>
      <c r="BP12" s="49"/>
      <c r="BQ12" s="49"/>
      <c r="BR12" s="49"/>
      <c r="BS12" s="49"/>
      <c r="BT12" s="49"/>
      <c r="BV12" s="58">
        <f t="shared" si="16"/>
        <v>-22894</v>
      </c>
      <c r="BW12" s="58">
        <f t="shared" si="15"/>
        <v>-715.4375</v>
      </c>
      <c r="BX12" s="58">
        <f t="shared" si="15"/>
        <v>-20.6875</v>
      </c>
      <c r="BY12" s="58">
        <f t="shared" si="15"/>
        <v>-28688</v>
      </c>
      <c r="BZ12" s="58">
        <f t="shared" si="15"/>
        <v>-1648</v>
      </c>
      <c r="CA12" s="58">
        <f t="shared" si="15"/>
        <v>-22472</v>
      </c>
      <c r="CB12" s="58">
        <f t="shared" si="15"/>
        <v>-4696</v>
      </c>
      <c r="CC12" s="58">
        <f t="shared" si="15"/>
        <v>-1.4309999999966294E-3</v>
      </c>
      <c r="CD12" s="58">
        <f t="shared" si="15"/>
        <v>4.2530000000056134E-3</v>
      </c>
      <c r="CE12" s="58">
        <f t="shared" si="15"/>
        <v>1.2849999999957618E-3</v>
      </c>
      <c r="CF12" s="58">
        <f t="shared" si="15"/>
        <v>-2.3687999999999931E-2</v>
      </c>
      <c r="CG12" s="58">
        <f t="shared" si="15"/>
        <v>-6.0310000000001196E-3</v>
      </c>
      <c r="CJ12" t="s">
        <v>587</v>
      </c>
    </row>
    <row r="13" spans="1:88" outlineLevel="1">
      <c r="A13" s="52"/>
      <c r="B13" s="52" t="s">
        <v>59</v>
      </c>
      <c r="C13" s="9" t="s">
        <v>236</v>
      </c>
      <c r="D13" s="52">
        <v>218121242</v>
      </c>
      <c r="E13" s="9">
        <v>10</v>
      </c>
      <c r="F13" s="9">
        <v>32</v>
      </c>
      <c r="G13" s="9">
        <v>30</v>
      </c>
      <c r="I13" s="10">
        <f t="shared" si="0"/>
        <v>6.2049824999999998</v>
      </c>
      <c r="J13" s="11">
        <f t="shared" si="1"/>
        <v>3.0343894704212258E-2</v>
      </c>
      <c r="K13" s="11">
        <f t="shared" si="2"/>
        <v>1.5919990039301168E-2</v>
      </c>
      <c r="L13" s="11">
        <f t="shared" si="3"/>
        <v>1.2779498110504982E-2</v>
      </c>
      <c r="M13" s="11">
        <f t="shared" si="4"/>
        <v>1.4423904664911086E-2</v>
      </c>
      <c r="N13" s="52">
        <f t="shared" si="5"/>
        <v>3472488</v>
      </c>
      <c r="O13" s="11">
        <v>16</v>
      </c>
      <c r="P13" s="12">
        <v>23308443</v>
      </c>
      <c r="Q13" s="12">
        <v>728388.84375</v>
      </c>
      <c r="R13" s="12">
        <v>27991.21875</v>
      </c>
      <c r="S13" s="13">
        <v>6618648</v>
      </c>
      <c r="T13" s="13">
        <v>2787480</v>
      </c>
      <c r="U13" s="13">
        <v>685008</v>
      </c>
      <c r="V13" s="13">
        <v>3146160</v>
      </c>
      <c r="W13" s="14">
        <v>70.060288</v>
      </c>
      <c r="X13" s="14">
        <v>72.567171999999999</v>
      </c>
      <c r="Y13" s="14">
        <v>37.050668999999999</v>
      </c>
      <c r="Z13" s="14">
        <v>41.679997</v>
      </c>
      <c r="AA13" s="14">
        <v>36.076627999999999</v>
      </c>
      <c r="AB13" s="15">
        <v>4169.99</v>
      </c>
      <c r="AC13" s="15">
        <v>5687.17</v>
      </c>
      <c r="AD13" s="15">
        <v>66.706000000000003</v>
      </c>
      <c r="AE13" s="15">
        <v>23.655000000000001</v>
      </c>
      <c r="AG13" s="10">
        <f t="shared" si="6"/>
        <v>6.1936349999999996</v>
      </c>
      <c r="AH13" s="11">
        <f t="shared" si="7"/>
        <v>3.0288402630680052E-2</v>
      </c>
      <c r="AI13" s="11">
        <f t="shared" si="8"/>
        <v>1.5841244843085939E-2</v>
      </c>
      <c r="AJ13" s="11">
        <f t="shared" si="9"/>
        <v>1.2803741508128769E-2</v>
      </c>
      <c r="AK13" s="11">
        <f t="shared" si="10"/>
        <v>1.4446570957999588E-2</v>
      </c>
      <c r="AL13" s="52">
        <f t="shared" si="11"/>
        <v>3455312</v>
      </c>
      <c r="AM13" s="11">
        <v>16</v>
      </c>
      <c r="AN13" s="12">
        <v>23302548</v>
      </c>
      <c r="AO13" s="12">
        <v>728204.625</v>
      </c>
      <c r="AP13" s="12">
        <v>28113.9375</v>
      </c>
      <c r="AQ13" s="13">
        <v>6606544</v>
      </c>
      <c r="AR13" s="13">
        <v>2792768</v>
      </c>
      <c r="AS13" s="13">
        <v>662544</v>
      </c>
      <c r="AT13" s="13">
        <v>3151104</v>
      </c>
      <c r="AU13" s="14">
        <v>70.065494000000001</v>
      </c>
      <c r="AV13" s="14">
        <v>72.574928</v>
      </c>
      <c r="AW13" s="14">
        <v>37.048228000000002</v>
      </c>
      <c r="AX13" s="14">
        <v>41.693058999999998</v>
      </c>
      <c r="AY13" s="14">
        <v>36.085819000000001</v>
      </c>
      <c r="AZ13" s="15">
        <v>3326.68</v>
      </c>
      <c r="BA13" s="15">
        <v>4386.7</v>
      </c>
      <c r="BB13" s="15">
        <v>63.277000000000001</v>
      </c>
      <c r="BC13" s="15">
        <v>17.280999999999999</v>
      </c>
      <c r="BE13" s="50">
        <f t="shared" si="12"/>
        <v>0.99505369061030602</v>
      </c>
      <c r="BF13" s="16">
        <f t="shared" si="13"/>
        <v>1.7824396982772661E-4</v>
      </c>
      <c r="BG13" s="16">
        <f t="shared" si="14"/>
        <v>-1.6386192538103694E-3</v>
      </c>
      <c r="BH13" s="16"/>
      <c r="BJ13" s="50"/>
      <c r="BK13" s="50"/>
      <c r="BL13" s="50"/>
      <c r="BM13" s="50"/>
      <c r="BN13" s="50"/>
      <c r="BP13" s="50"/>
      <c r="BQ13" s="50"/>
      <c r="BR13" s="50"/>
      <c r="BS13" s="50"/>
      <c r="BT13" s="50"/>
      <c r="BV13" s="58">
        <f t="shared" si="16"/>
        <v>-5895</v>
      </c>
      <c r="BW13" s="58">
        <f t="shared" si="15"/>
        <v>-184.21875</v>
      </c>
      <c r="BX13" s="58">
        <f t="shared" si="15"/>
        <v>122.71875</v>
      </c>
      <c r="BY13" s="58">
        <f t="shared" si="15"/>
        <v>-12104</v>
      </c>
      <c r="BZ13" s="58">
        <f t="shared" si="15"/>
        <v>5288</v>
      </c>
      <c r="CA13" s="58">
        <f t="shared" si="15"/>
        <v>-22464</v>
      </c>
      <c r="CB13" s="58">
        <f t="shared" si="15"/>
        <v>4944</v>
      </c>
      <c r="CC13" s="58">
        <f t="shared" si="15"/>
        <v>5.2060000000011541E-3</v>
      </c>
      <c r="CD13" s="58">
        <f t="shared" si="15"/>
        <v>7.7560000000005402E-3</v>
      </c>
      <c r="CE13" s="58">
        <f t="shared" si="15"/>
        <v>-2.440999999997473E-3</v>
      </c>
      <c r="CF13" s="58">
        <f t="shared" si="15"/>
        <v>1.3061999999997909E-2</v>
      </c>
      <c r="CG13" s="58">
        <f t="shared" si="15"/>
        <v>9.1910000000012815E-3</v>
      </c>
      <c r="CJ13" t="s">
        <v>587</v>
      </c>
    </row>
    <row r="14" spans="1:88" ht="16" outlineLevel="1" thickBot="1">
      <c r="A14" s="17"/>
      <c r="B14" s="36" t="s">
        <v>59</v>
      </c>
      <c r="C14" s="37" t="s">
        <v>237</v>
      </c>
      <c r="D14" s="36">
        <v>218121242</v>
      </c>
      <c r="E14" s="37">
        <v>10</v>
      </c>
      <c r="F14" s="37">
        <v>32</v>
      </c>
      <c r="G14" s="37">
        <v>30</v>
      </c>
      <c r="I14" s="38">
        <f t="shared" si="0"/>
        <v>12.240539999999999</v>
      </c>
      <c r="J14" s="39">
        <f t="shared" si="1"/>
        <v>5.9859259374655492E-2</v>
      </c>
      <c r="K14" s="39">
        <f t="shared" si="2"/>
        <v>2.6824237503654046E-2</v>
      </c>
      <c r="L14" s="39">
        <f t="shared" si="3"/>
        <v>2.0741492018461916E-2</v>
      </c>
      <c r="M14" s="39">
        <f t="shared" si="4"/>
        <v>3.3035021871001449E-2</v>
      </c>
      <c r="N14" s="36">
        <f t="shared" si="5"/>
        <v>5850936</v>
      </c>
      <c r="O14" s="39">
        <v>16</v>
      </c>
      <c r="P14" s="40">
        <v>22150010</v>
      </c>
      <c r="Q14" s="40">
        <v>692187.8125</v>
      </c>
      <c r="R14" s="40">
        <v>13331.5625</v>
      </c>
      <c r="S14" s="41">
        <v>13056576</v>
      </c>
      <c r="T14" s="41">
        <v>4524160</v>
      </c>
      <c r="U14" s="41">
        <v>1326776</v>
      </c>
      <c r="V14" s="41">
        <v>7205640</v>
      </c>
      <c r="W14" s="42">
        <v>70.920671999999996</v>
      </c>
      <c r="X14" s="42">
        <v>74.632659000000004</v>
      </c>
      <c r="Y14" s="42">
        <v>39.477800000000002</v>
      </c>
      <c r="Z14" s="42">
        <v>42.980525</v>
      </c>
      <c r="AA14" s="42">
        <v>38.260322000000002</v>
      </c>
      <c r="AB14" s="43">
        <v>3579.18</v>
      </c>
      <c r="AC14" s="43">
        <v>4973.7</v>
      </c>
      <c r="AD14" s="43">
        <v>59.003999999999998</v>
      </c>
      <c r="AE14" s="43">
        <v>19.795000000000002</v>
      </c>
      <c r="AG14" s="38">
        <f t="shared" si="6"/>
        <v>12.213967500000001</v>
      </c>
      <c r="AH14" s="39">
        <f t="shared" si="7"/>
        <v>5.9729313296318018E-2</v>
      </c>
      <c r="AI14" s="39">
        <f t="shared" si="8"/>
        <v>2.6722936044899285E-2</v>
      </c>
      <c r="AJ14" s="39">
        <f t="shared" si="9"/>
        <v>2.0743655952591724E-2</v>
      </c>
      <c r="AK14" s="39">
        <f t="shared" si="10"/>
        <v>3.3005790421824208E-2</v>
      </c>
      <c r="AL14" s="36">
        <f t="shared" si="11"/>
        <v>5828840</v>
      </c>
      <c r="AM14" s="39">
        <v>16</v>
      </c>
      <c r="AN14" s="40">
        <v>22137685</v>
      </c>
      <c r="AO14" s="40">
        <v>691802.65625</v>
      </c>
      <c r="AP14" s="40">
        <v>13319.65625</v>
      </c>
      <c r="AQ14" s="41">
        <v>13028232</v>
      </c>
      <c r="AR14" s="41">
        <v>4524632</v>
      </c>
      <c r="AS14" s="41">
        <v>1304208</v>
      </c>
      <c r="AT14" s="41">
        <v>7199264</v>
      </c>
      <c r="AU14" s="42">
        <v>70.915212999999994</v>
      </c>
      <c r="AV14" s="42">
        <v>74.637894000000003</v>
      </c>
      <c r="AW14" s="42">
        <v>39.477536999999998</v>
      </c>
      <c r="AX14" s="42">
        <v>42.980590999999997</v>
      </c>
      <c r="AY14" s="42">
        <v>38.262093999999998</v>
      </c>
      <c r="AZ14" s="43">
        <v>3270.53</v>
      </c>
      <c r="BA14" s="43">
        <v>4580.72</v>
      </c>
      <c r="BB14" s="43">
        <v>56.195</v>
      </c>
      <c r="BC14" s="43">
        <v>18.61</v>
      </c>
      <c r="BE14" s="44">
        <f t="shared" si="12"/>
        <v>0.99622351022127054</v>
      </c>
      <c r="BF14" s="45">
        <f t="shared" si="13"/>
        <v>-6.4875821810563006E-6</v>
      </c>
      <c r="BG14" s="45">
        <f t="shared" si="14"/>
        <v>-7.2108298628914547E-4</v>
      </c>
      <c r="BH14" s="45"/>
      <c r="BJ14" s="44"/>
      <c r="BK14" s="44"/>
      <c r="BL14" s="44"/>
      <c r="BM14" s="44"/>
      <c r="BN14" s="44"/>
      <c r="BP14" s="44"/>
      <c r="BQ14" s="44"/>
      <c r="BR14" s="44"/>
      <c r="BS14" s="44"/>
      <c r="BT14" s="44"/>
      <c r="BV14" s="58">
        <f t="shared" si="16"/>
        <v>-12325</v>
      </c>
      <c r="BW14" s="58">
        <f t="shared" si="15"/>
        <v>-385.15625</v>
      </c>
      <c r="BX14" s="58">
        <f t="shared" si="15"/>
        <v>-11.90625</v>
      </c>
      <c r="BY14" s="58">
        <f t="shared" si="15"/>
        <v>-28344</v>
      </c>
      <c r="BZ14" s="58">
        <f t="shared" si="15"/>
        <v>472</v>
      </c>
      <c r="CA14" s="58">
        <f t="shared" si="15"/>
        <v>-22568</v>
      </c>
      <c r="CB14" s="58">
        <f t="shared" si="15"/>
        <v>-6376</v>
      </c>
      <c r="CC14" s="58">
        <f t="shared" si="15"/>
        <v>-5.459000000001879E-3</v>
      </c>
      <c r="CD14" s="58">
        <f t="shared" si="15"/>
        <v>5.2349999999989905E-3</v>
      </c>
      <c r="CE14" s="58">
        <f t="shared" si="15"/>
        <v>-2.63000000003899E-4</v>
      </c>
      <c r="CF14" s="58">
        <f t="shared" si="15"/>
        <v>6.5999999996790848E-5</v>
      </c>
      <c r="CG14" s="58">
        <f t="shared" si="15"/>
        <v>1.7719999999954439E-3</v>
      </c>
      <c r="CJ14" t="s">
        <v>587</v>
      </c>
    </row>
    <row r="15" spans="1:88">
      <c r="A15" s="52"/>
      <c r="B15" s="52" t="s">
        <v>64</v>
      </c>
      <c r="C15" s="9" t="s">
        <v>232</v>
      </c>
      <c r="D15" s="52">
        <v>322589704</v>
      </c>
      <c r="E15" s="9">
        <v>10</v>
      </c>
      <c r="F15" s="9">
        <v>32</v>
      </c>
      <c r="G15" s="9">
        <v>30</v>
      </c>
      <c r="I15" s="10">
        <f t="shared" si="0"/>
        <v>1.6267125</v>
      </c>
      <c r="J15" s="11">
        <f t="shared" si="1"/>
        <v>5.3788449491246008E-3</v>
      </c>
      <c r="K15" s="11">
        <f t="shared" si="2"/>
        <v>4.5265920824305046E-3</v>
      </c>
      <c r="L15" s="11">
        <f t="shared" si="3"/>
        <v>2.3656551667253461E-3</v>
      </c>
      <c r="M15" s="11">
        <f t="shared" si="4"/>
        <v>8.5225286669409633E-4</v>
      </c>
      <c r="N15" s="52">
        <f t="shared" si="5"/>
        <v>1460232</v>
      </c>
      <c r="O15" s="11">
        <v>16</v>
      </c>
      <c r="P15" s="12">
        <v>32415907</v>
      </c>
      <c r="Q15" s="12">
        <v>1012997.09375</v>
      </c>
      <c r="R15" s="12">
        <v>32038.09375</v>
      </c>
      <c r="S15" s="13">
        <v>1735160</v>
      </c>
      <c r="T15" s="13">
        <v>763136</v>
      </c>
      <c r="U15" s="13">
        <v>697096</v>
      </c>
      <c r="V15" s="13">
        <v>274928</v>
      </c>
      <c r="W15" s="14">
        <v>66.298768999999993</v>
      </c>
      <c r="X15" s="14">
        <v>67.850190999999995</v>
      </c>
      <c r="Y15" s="14">
        <v>29.251728</v>
      </c>
      <c r="Z15" s="14">
        <v>43.488112000000001</v>
      </c>
      <c r="AA15" s="14">
        <v>43.716256000000001</v>
      </c>
      <c r="AB15" s="15">
        <v>5689.56</v>
      </c>
      <c r="AC15" s="15">
        <v>3628.67</v>
      </c>
      <c r="AD15" s="15">
        <v>91.161000000000001</v>
      </c>
      <c r="AE15" s="15">
        <v>19.015999999999998</v>
      </c>
      <c r="AG15" s="10">
        <f t="shared" si="6"/>
        <v>1.6117950000000001</v>
      </c>
      <c r="AH15" s="11">
        <f t="shared" si="7"/>
        <v>5.3295191343118624E-3</v>
      </c>
      <c r="AI15" s="11">
        <f t="shared" si="8"/>
        <v>4.4768694787605499E-3</v>
      </c>
      <c r="AJ15" s="11">
        <f t="shared" si="9"/>
        <v>2.3656551667253461E-3</v>
      </c>
      <c r="AK15" s="11">
        <f t="shared" si="10"/>
        <v>8.5225286669409633E-4</v>
      </c>
      <c r="AL15" s="52">
        <f t="shared" si="11"/>
        <v>1444192</v>
      </c>
      <c r="AM15" s="11">
        <v>16</v>
      </c>
      <c r="AN15" s="12">
        <v>32415907</v>
      </c>
      <c r="AO15" s="12">
        <v>1012997.09375</v>
      </c>
      <c r="AP15" s="12">
        <v>32038.09375</v>
      </c>
      <c r="AQ15" s="13">
        <v>1719248</v>
      </c>
      <c r="AR15" s="13">
        <v>763136</v>
      </c>
      <c r="AS15" s="13">
        <v>681056</v>
      </c>
      <c r="AT15" s="13">
        <v>274928</v>
      </c>
      <c r="AU15" s="14">
        <v>66.298768999999993</v>
      </c>
      <c r="AV15" s="14">
        <v>67.850190999999995</v>
      </c>
      <c r="AW15" s="14">
        <v>29.251728</v>
      </c>
      <c r="AX15" s="14">
        <v>43.488112000000001</v>
      </c>
      <c r="AY15" s="14">
        <v>43.716256000000001</v>
      </c>
      <c r="AZ15" s="15">
        <v>4681.62</v>
      </c>
      <c r="BA15" s="15">
        <v>2671.17</v>
      </c>
      <c r="BB15" s="15">
        <v>79.896000000000001</v>
      </c>
      <c r="BC15" s="15">
        <v>13.194000000000001</v>
      </c>
      <c r="BE15" s="50">
        <f t="shared" si="12"/>
        <v>0.98901544412120812</v>
      </c>
      <c r="BF15" s="16">
        <f t="shared" si="13"/>
        <v>0</v>
      </c>
      <c r="BG15" s="16">
        <f t="shared" si="14"/>
        <v>-1.5408958462879152E-3</v>
      </c>
      <c r="BH15" s="16">
        <f t="array" ref="BH15">AVERAGE(AL15:AL19/AQ15:AQ19) - AVERAGE(N15:N19/S15:S19)</f>
        <v>-1.3910423491260149E-3</v>
      </c>
      <c r="BJ15" s="50">
        <f>IF( OR(ISBLANK(N15:N19),ISBLANK(AL15:AL19), ISBLANK(W15:W19),ISBLANK(AU15:AU19)), "·", bdRateExtend( N15:N19,W15:W19, AL15:AL19,AU15:AU19))</f>
        <v>-7.9001263928420995E-3</v>
      </c>
      <c r="BK15" s="50">
        <f>IF( OR(ISBLANK(N15:N19),ISBLANK(AL15:AL19), ISBLANK(X15:X19),ISBLANK(AV15:AV19)), "·", bdRateExtend( N15:N19,X15:X19, AL15:AL19,AV15:AV19))</f>
        <v>-7.2887865359497761E-3</v>
      </c>
      <c r="BL15" s="50">
        <f>IF( OR(ISBLANK(V15:V19),ISBLANK(AT15:AT19), ISBLANK(Y15:Y19),ISBLANK(AW15:AW19)), "·", bdRateExtend( V15:V19,Y15:Y19, AT15:AT19,AW15:AW19))</f>
        <v>1.2513971840499849E-4</v>
      </c>
      <c r="BM15" s="50">
        <f>IF( OR(ISBLANK(V15:V19),ISBLANK(AT15:AT19), ISBLANK(Z15:Z19),ISBLANK(AX15:AX19)), "·", bdRateExtend( V15:V19,Z15:Z19, AT15:AT19,AX15:AX19))</f>
        <v>1.4803454746492584E-4</v>
      </c>
      <c r="BN15" s="50">
        <f>IF( OR(ISBLANK(V15:V19),ISBLANK(AT15:AT19), ISBLANK(AA15:AA19),ISBLANK(AY15:AY19)), "·", bdRateExtend( V15:V19,AA15:AA19, AT15:AT19,AY15:AY19))</f>
        <v>3.9685924181576127E-5</v>
      </c>
      <c r="BP15" s="50">
        <f>IF( OR(ISBLANK(S15:S19),ISBLANK(AQ15:AQ19), ISBLANK(W15:W19),ISBLANK(AU15:AU19)), "·", bdRateExtend( S15:S19,W15:W19, AQ15:AQ19,AU15:AU19))</f>
        <v>-5.686211331638602E-3</v>
      </c>
      <c r="BQ15" s="50">
        <f>IF( OR(ISBLANK(S15:S19),ISBLANK(AQ15:AQ19), ISBLANK(X15:X19),ISBLANK(AV15:AV19)), "·", bdRateExtend( S15:S19,X15:X19, AQ15:AQ19,AV15:AV19))</f>
        <v>-5.1266174651201091E-3</v>
      </c>
      <c r="BR15" s="50">
        <f>IF( OR(ISBLANK(S15:S19),ISBLANK(AQ15:AQ19), ISBLANK(Y15:Y19),ISBLANK(AW15:AW19)), "·", bdRateExtend( S15:S19,Y15:Y19, AQ15:AQ19,AW15:AW19))</f>
        <v>-4.9770316785815449E-3</v>
      </c>
      <c r="BS15" s="50">
        <f>IF( OR(ISBLANK(S15:S19),ISBLANK(AQ15:AQ19), ISBLANK(Z15:Z19),ISBLANK(AX15:AX19)), "·", bdRateExtend( S15:S19,Z15:Z19, AQ15:AQ19,AX15:AX19))</f>
        <v>-4.107699725519498E-3</v>
      </c>
      <c r="BT15" s="50">
        <f>IF( OR(ISBLANK(S15:S19),ISBLANK(AQ15:AQ19), ISBLANK(AA15:AA19),ISBLANK(AY15:AY19)), "·", bdRateExtend( S15:S19,AA15:AA19, AQ15:AQ19,AY15:AY19))</f>
        <v>-4.2467402045698321E-3</v>
      </c>
      <c r="BV15" s="58">
        <f t="shared" si="16"/>
        <v>0</v>
      </c>
      <c r="BW15" s="58">
        <f t="shared" si="15"/>
        <v>0</v>
      </c>
      <c r="BX15" s="58">
        <f t="shared" si="15"/>
        <v>0</v>
      </c>
      <c r="BY15" s="58">
        <f t="shared" si="15"/>
        <v>-15912</v>
      </c>
      <c r="BZ15" s="58">
        <f t="shared" si="15"/>
        <v>0</v>
      </c>
      <c r="CA15" s="58">
        <f t="shared" si="15"/>
        <v>-16040</v>
      </c>
      <c r="CB15" s="58">
        <f t="shared" si="15"/>
        <v>0</v>
      </c>
      <c r="CC15" s="58">
        <f t="shared" si="15"/>
        <v>0</v>
      </c>
      <c r="CD15" s="58">
        <f t="shared" si="15"/>
        <v>0</v>
      </c>
      <c r="CE15" s="58">
        <f t="shared" si="15"/>
        <v>0</v>
      </c>
      <c r="CF15" s="58">
        <f t="shared" si="15"/>
        <v>0</v>
      </c>
      <c r="CG15" s="58">
        <f t="shared" si="15"/>
        <v>0</v>
      </c>
      <c r="CJ15" t="s">
        <v>233</v>
      </c>
    </row>
    <row r="16" spans="1:88" outlineLevel="1">
      <c r="A16" s="17"/>
      <c r="B16" s="17" t="s">
        <v>64</v>
      </c>
      <c r="C16" s="18" t="s">
        <v>234</v>
      </c>
      <c r="D16" s="17">
        <v>322589704</v>
      </c>
      <c r="E16" s="18">
        <v>10</v>
      </c>
      <c r="F16" s="18">
        <v>32</v>
      </c>
      <c r="G16" s="18">
        <v>30</v>
      </c>
      <c r="I16" s="19">
        <f t="shared" si="0"/>
        <v>2.1293625</v>
      </c>
      <c r="J16" s="20">
        <f t="shared" si="1"/>
        <v>7.040894274790618E-3</v>
      </c>
      <c r="K16" s="20">
        <f t="shared" si="2"/>
        <v>5.4569131567819657E-3</v>
      </c>
      <c r="L16" s="20">
        <f t="shared" si="3"/>
        <v>3.2959762410768078E-3</v>
      </c>
      <c r="M16" s="20">
        <f t="shared" si="4"/>
        <v>1.5839811180086516E-3</v>
      </c>
      <c r="N16" s="17">
        <f t="shared" si="5"/>
        <v>1760344</v>
      </c>
      <c r="O16" s="20">
        <v>16</v>
      </c>
      <c r="P16" s="21">
        <v>33874164</v>
      </c>
      <c r="Q16" s="21">
        <v>1058567.625</v>
      </c>
      <c r="R16" s="21">
        <v>36864.21875</v>
      </c>
      <c r="S16" s="22">
        <v>2271320</v>
      </c>
      <c r="T16" s="22">
        <v>1063248</v>
      </c>
      <c r="U16" s="22">
        <v>697096</v>
      </c>
      <c r="V16" s="22">
        <v>510976</v>
      </c>
      <c r="W16" s="23">
        <v>68.029634000000001</v>
      </c>
      <c r="X16" s="23">
        <v>70.006816000000001</v>
      </c>
      <c r="Y16" s="23">
        <v>31.568781000000001</v>
      </c>
      <c r="Z16" s="23">
        <v>44.070134000000003</v>
      </c>
      <c r="AA16" s="23">
        <v>44.423062999999999</v>
      </c>
      <c r="AB16" s="24">
        <v>5092.1099999999997</v>
      </c>
      <c r="AC16" s="24">
        <v>3105.25</v>
      </c>
      <c r="AD16" s="24">
        <v>86.966999999999999</v>
      </c>
      <c r="AE16" s="24">
        <v>14.962</v>
      </c>
      <c r="AG16" s="19">
        <f t="shared" si="6"/>
        <v>2.1148574999999998</v>
      </c>
      <c r="AH16" s="20">
        <f t="shared" si="7"/>
        <v>6.9929324216745619E-3</v>
      </c>
      <c r="AI16" s="20">
        <f t="shared" si="8"/>
        <v>5.4073889475406197E-3</v>
      </c>
      <c r="AJ16" s="20">
        <f t="shared" si="9"/>
        <v>3.2961994348089919E-3</v>
      </c>
      <c r="AK16" s="20">
        <f t="shared" si="10"/>
        <v>1.5851466852767253E-3</v>
      </c>
      <c r="AL16" s="17">
        <f t="shared" si="11"/>
        <v>1744368</v>
      </c>
      <c r="AM16" s="20">
        <v>16</v>
      </c>
      <c r="AN16" s="21">
        <v>33875717</v>
      </c>
      <c r="AO16" s="21">
        <v>1058616.15625</v>
      </c>
      <c r="AP16" s="21">
        <v>36874.3125</v>
      </c>
      <c r="AQ16" s="22">
        <v>2255848</v>
      </c>
      <c r="AR16" s="22">
        <v>1063320</v>
      </c>
      <c r="AS16" s="22">
        <v>681048</v>
      </c>
      <c r="AT16" s="22">
        <v>511352</v>
      </c>
      <c r="AU16" s="23">
        <v>68.029883999999996</v>
      </c>
      <c r="AV16" s="23">
        <v>70.006805999999997</v>
      </c>
      <c r="AW16" s="23">
        <v>31.569400000000002</v>
      </c>
      <c r="AX16" s="23">
        <v>44.070152999999998</v>
      </c>
      <c r="AY16" s="23">
        <v>44.423887000000001</v>
      </c>
      <c r="AZ16" s="24">
        <v>5619.57</v>
      </c>
      <c r="BA16" s="24">
        <v>3512.47</v>
      </c>
      <c r="BB16" s="24">
        <v>95.643000000000001</v>
      </c>
      <c r="BC16" s="24">
        <v>15.948</v>
      </c>
      <c r="BE16" s="49">
        <f t="shared" si="12"/>
        <v>0.99092450112023567</v>
      </c>
      <c r="BF16" s="25">
        <f t="shared" si="13"/>
        <v>7.9383518305012335E-6</v>
      </c>
      <c r="BG16" s="25">
        <f t="shared" si="14"/>
        <v>-1.7663939925239847E-3</v>
      </c>
      <c r="BH16" s="25"/>
      <c r="BJ16" s="49"/>
      <c r="BK16" s="49"/>
      <c r="BL16" s="49"/>
      <c r="BM16" s="49"/>
      <c r="BN16" s="49"/>
      <c r="BP16" s="49"/>
      <c r="BQ16" s="49"/>
      <c r="BR16" s="49"/>
      <c r="BS16" s="49"/>
      <c r="BT16" s="49"/>
      <c r="BV16" s="58">
        <f t="shared" si="16"/>
        <v>1553</v>
      </c>
      <c r="BW16" s="58">
        <f t="shared" si="15"/>
        <v>48.53125</v>
      </c>
      <c r="BX16" s="58">
        <f t="shared" si="15"/>
        <v>10.09375</v>
      </c>
      <c r="BY16" s="58">
        <f t="shared" si="15"/>
        <v>-15472</v>
      </c>
      <c r="BZ16" s="58">
        <f t="shared" si="15"/>
        <v>72</v>
      </c>
      <c r="CA16" s="58">
        <f t="shared" si="15"/>
        <v>-16048</v>
      </c>
      <c r="CB16" s="58">
        <f t="shared" si="15"/>
        <v>376</v>
      </c>
      <c r="CC16" s="58">
        <f t="shared" si="15"/>
        <v>2.4999999999408828E-4</v>
      </c>
      <c r="CD16" s="58">
        <f t="shared" si="15"/>
        <v>-1.0000000003174137E-5</v>
      </c>
      <c r="CE16" s="58">
        <f t="shared" si="15"/>
        <v>6.1900000000036925E-4</v>
      </c>
      <c r="CF16" s="58">
        <f t="shared" si="15"/>
        <v>1.8999999994662176E-5</v>
      </c>
      <c r="CG16" s="58">
        <f t="shared" si="15"/>
        <v>8.2400000000149021E-4</v>
      </c>
      <c r="CJ16" t="s">
        <v>233</v>
      </c>
    </row>
    <row r="17" spans="1:88" outlineLevel="1">
      <c r="A17" s="52"/>
      <c r="B17" s="52" t="s">
        <v>64</v>
      </c>
      <c r="C17" s="9" t="s">
        <v>235</v>
      </c>
      <c r="D17" s="52">
        <v>322589704</v>
      </c>
      <c r="E17" s="9">
        <v>10</v>
      </c>
      <c r="F17" s="9">
        <v>32</v>
      </c>
      <c r="G17" s="9">
        <v>30</v>
      </c>
      <c r="I17" s="10">
        <f t="shared" si="0"/>
        <v>2.9996174999999998</v>
      </c>
      <c r="J17" s="11">
        <f t="shared" si="1"/>
        <v>9.9184566659325252E-3</v>
      </c>
      <c r="K17" s="11">
        <f t="shared" si="2"/>
        <v>6.6616633245058562E-3</v>
      </c>
      <c r="L17" s="11">
        <f t="shared" si="3"/>
        <v>4.5007264088006973E-3</v>
      </c>
      <c r="M17" s="11">
        <f t="shared" si="4"/>
        <v>3.2567933414266686E-3</v>
      </c>
      <c r="N17" s="52">
        <f t="shared" si="5"/>
        <v>2148984</v>
      </c>
      <c r="O17" s="11">
        <v>16</v>
      </c>
      <c r="P17" s="12">
        <v>33778649</v>
      </c>
      <c r="Q17" s="12">
        <v>1055582.78125</v>
      </c>
      <c r="R17" s="12">
        <v>37421.1875</v>
      </c>
      <c r="S17" s="13">
        <v>3199592</v>
      </c>
      <c r="T17" s="13">
        <v>1451888</v>
      </c>
      <c r="U17" s="13">
        <v>697096</v>
      </c>
      <c r="V17" s="13">
        <v>1050608</v>
      </c>
      <c r="W17" s="14">
        <v>69.351502999999994</v>
      </c>
      <c r="X17" s="14">
        <v>71.840316000000001</v>
      </c>
      <c r="Y17" s="14">
        <v>33.951681000000001</v>
      </c>
      <c r="Z17" s="14">
        <v>45.159981000000002</v>
      </c>
      <c r="AA17" s="14">
        <v>45.538837999999998</v>
      </c>
      <c r="AB17" s="15">
        <v>5075.76</v>
      </c>
      <c r="AC17" s="15">
        <v>3375.22</v>
      </c>
      <c r="AD17" s="15">
        <v>86.203000000000003</v>
      </c>
      <c r="AE17" s="15">
        <v>14.545</v>
      </c>
      <c r="AG17" s="10">
        <f t="shared" si="6"/>
        <v>2.9847000000000001</v>
      </c>
      <c r="AH17" s="11">
        <f t="shared" si="7"/>
        <v>9.869130851119786E-3</v>
      </c>
      <c r="AI17" s="11">
        <f t="shared" si="8"/>
        <v>6.6119407208359016E-3</v>
      </c>
      <c r="AJ17" s="11">
        <f t="shared" si="9"/>
        <v>4.5007264088006973E-3</v>
      </c>
      <c r="AK17" s="11">
        <f t="shared" si="10"/>
        <v>3.2567933414266686E-3</v>
      </c>
      <c r="AL17" s="52">
        <f t="shared" si="11"/>
        <v>2132944</v>
      </c>
      <c r="AM17" s="11">
        <v>16</v>
      </c>
      <c r="AN17" s="12">
        <v>33778649</v>
      </c>
      <c r="AO17" s="12">
        <v>1055582.78125</v>
      </c>
      <c r="AP17" s="12">
        <v>37421.1875</v>
      </c>
      <c r="AQ17" s="13">
        <v>3183680</v>
      </c>
      <c r="AR17" s="13">
        <v>1451888</v>
      </c>
      <c r="AS17" s="13">
        <v>681056</v>
      </c>
      <c r="AT17" s="13">
        <v>1050608</v>
      </c>
      <c r="AU17" s="14">
        <v>69.351502999999994</v>
      </c>
      <c r="AV17" s="14">
        <v>71.840316000000001</v>
      </c>
      <c r="AW17" s="14">
        <v>33.951681000000001</v>
      </c>
      <c r="AX17" s="14">
        <v>45.159981000000002</v>
      </c>
      <c r="AY17" s="14">
        <v>45.538837999999998</v>
      </c>
      <c r="AZ17" s="15">
        <v>4789.58</v>
      </c>
      <c r="BA17" s="15">
        <v>3309.14</v>
      </c>
      <c r="BB17" s="15">
        <v>92.602999999999994</v>
      </c>
      <c r="BC17" s="15">
        <v>15.218999999999999</v>
      </c>
      <c r="BE17" s="50">
        <f t="shared" si="12"/>
        <v>0.99253600771341244</v>
      </c>
      <c r="BF17" s="16">
        <f t="shared" si="13"/>
        <v>0</v>
      </c>
      <c r="BG17" s="16">
        <f t="shared" si="14"/>
        <v>-1.6813292930952795E-3</v>
      </c>
      <c r="BH17" s="16"/>
      <c r="BJ17" s="50"/>
      <c r="BK17" s="50"/>
      <c r="BL17" s="50"/>
      <c r="BM17" s="50"/>
      <c r="BN17" s="50"/>
      <c r="BP17" s="50"/>
      <c r="BQ17" s="50"/>
      <c r="BR17" s="50"/>
      <c r="BS17" s="50"/>
      <c r="BT17" s="50"/>
      <c r="BV17" s="58">
        <f t="shared" si="16"/>
        <v>0</v>
      </c>
      <c r="BW17" s="58">
        <f t="shared" si="15"/>
        <v>0</v>
      </c>
      <c r="BX17" s="58">
        <f t="shared" si="15"/>
        <v>0</v>
      </c>
      <c r="BY17" s="58">
        <f t="shared" si="15"/>
        <v>-15912</v>
      </c>
      <c r="BZ17" s="58">
        <f t="shared" si="15"/>
        <v>0</v>
      </c>
      <c r="CA17" s="58">
        <f t="shared" si="15"/>
        <v>-16040</v>
      </c>
      <c r="CB17" s="58">
        <f t="shared" si="15"/>
        <v>0</v>
      </c>
      <c r="CC17" s="58">
        <f t="shared" si="15"/>
        <v>0</v>
      </c>
      <c r="CD17" s="58">
        <f t="shared" si="15"/>
        <v>0</v>
      </c>
      <c r="CE17" s="58">
        <f t="shared" si="15"/>
        <v>0</v>
      </c>
      <c r="CF17" s="58">
        <f t="shared" si="15"/>
        <v>0</v>
      </c>
      <c r="CG17" s="58">
        <f t="shared" si="15"/>
        <v>0</v>
      </c>
      <c r="CJ17" t="s">
        <v>233</v>
      </c>
    </row>
    <row r="18" spans="1:88" outlineLevel="1">
      <c r="A18" s="17"/>
      <c r="B18" s="17" t="s">
        <v>64</v>
      </c>
      <c r="C18" s="18" t="s">
        <v>236</v>
      </c>
      <c r="D18" s="17">
        <v>322589704</v>
      </c>
      <c r="E18" s="18">
        <v>10</v>
      </c>
      <c r="F18" s="18">
        <v>32</v>
      </c>
      <c r="G18" s="18">
        <v>30</v>
      </c>
      <c r="I18" s="19">
        <f t="shared" si="0"/>
        <v>5.2765500000000003</v>
      </c>
      <c r="J18" s="20">
        <f t="shared" si="1"/>
        <v>1.7447302037885252E-2</v>
      </c>
      <c r="K18" s="20">
        <f t="shared" si="2"/>
        <v>9.9237637168977967E-3</v>
      </c>
      <c r="L18" s="20">
        <f t="shared" si="3"/>
        <v>7.7628268011926379E-3</v>
      </c>
      <c r="M18" s="20">
        <f t="shared" si="4"/>
        <v>7.5235383209874551E-3</v>
      </c>
      <c r="N18" s="17">
        <f t="shared" si="5"/>
        <v>3201304</v>
      </c>
      <c r="O18" s="20">
        <v>16</v>
      </c>
      <c r="P18" s="21">
        <v>34914325</v>
      </c>
      <c r="Q18" s="21">
        <v>1091072.65625</v>
      </c>
      <c r="R18" s="21">
        <v>41603.21875</v>
      </c>
      <c r="S18" s="22">
        <v>5628320</v>
      </c>
      <c r="T18" s="22">
        <v>2504208</v>
      </c>
      <c r="U18" s="22">
        <v>697096</v>
      </c>
      <c r="V18" s="22">
        <v>2427016</v>
      </c>
      <c r="W18" s="23">
        <v>70.529849999999996</v>
      </c>
      <c r="X18" s="23">
        <v>73.133384000000007</v>
      </c>
      <c r="Y18" s="23">
        <v>36.284100000000002</v>
      </c>
      <c r="Z18" s="23">
        <v>46.412683999999999</v>
      </c>
      <c r="AA18" s="23">
        <v>47.006613000000002</v>
      </c>
      <c r="AB18" s="24">
        <v>5332.38</v>
      </c>
      <c r="AC18" s="24">
        <v>3802.59</v>
      </c>
      <c r="AD18" s="24">
        <v>91.251999999999995</v>
      </c>
      <c r="AE18" s="24">
        <v>16.547999999999998</v>
      </c>
      <c r="AG18" s="19">
        <f t="shared" si="6"/>
        <v>5.2615049999999997</v>
      </c>
      <c r="AH18" s="20">
        <f t="shared" si="7"/>
        <v>1.739755463491172E-2</v>
      </c>
      <c r="AI18" s="20">
        <f t="shared" si="8"/>
        <v>9.8728755459597684E-3</v>
      </c>
      <c r="AJ18" s="20">
        <f t="shared" si="9"/>
        <v>7.7616860332281401E-3</v>
      </c>
      <c r="AK18" s="20">
        <f t="shared" si="10"/>
        <v>7.5242823000947357E-3</v>
      </c>
      <c r="AL18" s="17">
        <f t="shared" si="11"/>
        <v>3184888</v>
      </c>
      <c r="AM18" s="20">
        <v>16</v>
      </c>
      <c r="AN18" s="21">
        <v>34914211</v>
      </c>
      <c r="AO18" s="21">
        <v>1091069.09375</v>
      </c>
      <c r="AP18" s="21">
        <v>41605</v>
      </c>
      <c r="AQ18" s="22">
        <v>5612272</v>
      </c>
      <c r="AR18" s="22">
        <v>2503840</v>
      </c>
      <c r="AS18" s="22">
        <v>681048</v>
      </c>
      <c r="AT18" s="22">
        <v>2427256</v>
      </c>
      <c r="AU18" s="23">
        <v>70.529827999999995</v>
      </c>
      <c r="AV18" s="23">
        <v>73.133287999999993</v>
      </c>
      <c r="AW18" s="23">
        <v>36.284593999999998</v>
      </c>
      <c r="AX18" s="23">
        <v>46.412540999999997</v>
      </c>
      <c r="AY18" s="23">
        <v>47.006552999999997</v>
      </c>
      <c r="AZ18" s="24">
        <v>4683.03</v>
      </c>
      <c r="BA18" s="24">
        <v>3360.78</v>
      </c>
      <c r="BB18" s="24">
        <v>85.718999999999994</v>
      </c>
      <c r="BC18" s="24">
        <v>15.154</v>
      </c>
      <c r="BE18" s="49">
        <f t="shared" si="12"/>
        <v>0.9948720896234784</v>
      </c>
      <c r="BF18" s="25">
        <f t="shared" si="13"/>
        <v>1.7570749231490823E-6</v>
      </c>
      <c r="BG18" s="25">
        <f t="shared" si="14"/>
        <v>-1.2986074614538268E-3</v>
      </c>
      <c r="BH18" s="25"/>
      <c r="BJ18" s="49"/>
      <c r="BK18" s="49"/>
      <c r="BL18" s="49"/>
      <c r="BM18" s="49"/>
      <c r="BN18" s="49"/>
      <c r="BP18" s="49"/>
      <c r="BQ18" s="49"/>
      <c r="BR18" s="49"/>
      <c r="BS18" s="49"/>
      <c r="BT18" s="49"/>
      <c r="BV18" s="58">
        <f t="shared" si="16"/>
        <v>-114</v>
      </c>
      <c r="BW18" s="58">
        <f t="shared" si="15"/>
        <v>-3.5625</v>
      </c>
      <c r="BX18" s="58">
        <f t="shared" si="15"/>
        <v>1.78125</v>
      </c>
      <c r="BY18" s="58">
        <f t="shared" si="15"/>
        <v>-16048</v>
      </c>
      <c r="BZ18" s="58">
        <f t="shared" si="15"/>
        <v>-368</v>
      </c>
      <c r="CA18" s="58">
        <f t="shared" si="15"/>
        <v>-16048</v>
      </c>
      <c r="CB18" s="58">
        <f t="shared" si="15"/>
        <v>240</v>
      </c>
      <c r="CC18" s="58">
        <f t="shared" si="15"/>
        <v>-2.2000000001298758E-5</v>
      </c>
      <c r="CD18" s="58">
        <f t="shared" si="15"/>
        <v>-9.6000000013418685E-5</v>
      </c>
      <c r="CE18" s="58">
        <f t="shared" si="15"/>
        <v>4.9399999999621969E-4</v>
      </c>
      <c r="CF18" s="58">
        <f t="shared" si="15"/>
        <v>-1.430000000013365E-4</v>
      </c>
      <c r="CG18" s="58">
        <f t="shared" si="15"/>
        <v>-6.0000000004833964E-5</v>
      </c>
      <c r="CJ18" t="s">
        <v>233</v>
      </c>
    </row>
    <row r="19" spans="1:88" ht="16" outlineLevel="1" thickBot="1">
      <c r="A19" s="52"/>
      <c r="B19" s="26" t="s">
        <v>64</v>
      </c>
      <c r="C19" s="27" t="s">
        <v>237</v>
      </c>
      <c r="D19" s="26">
        <v>322589704</v>
      </c>
      <c r="E19" s="27">
        <v>10</v>
      </c>
      <c r="F19" s="27">
        <v>32</v>
      </c>
      <c r="G19" s="27">
        <v>30</v>
      </c>
      <c r="I19" s="28">
        <f t="shared" si="0"/>
        <v>11.4147675</v>
      </c>
      <c r="J19" s="29">
        <f t="shared" si="1"/>
        <v>3.7743771264317848E-2</v>
      </c>
      <c r="K19" s="29">
        <f t="shared" si="2"/>
        <v>1.7450451549439409E-2</v>
      </c>
      <c r="L19" s="29">
        <f t="shared" si="3"/>
        <v>1.2811841012755943E-2</v>
      </c>
      <c r="M19" s="29">
        <f t="shared" si="4"/>
        <v>2.0293319714878438E-2</v>
      </c>
      <c r="N19" s="26">
        <f t="shared" si="5"/>
        <v>5629336</v>
      </c>
      <c r="O19" s="29">
        <v>16</v>
      </c>
      <c r="P19" s="30">
        <v>33019287</v>
      </c>
      <c r="Q19" s="30">
        <v>1031852.71875</v>
      </c>
      <c r="R19" s="30">
        <v>17790.15625</v>
      </c>
      <c r="S19" s="31">
        <v>12175752</v>
      </c>
      <c r="T19" s="31">
        <v>4132968</v>
      </c>
      <c r="U19" s="31">
        <v>1496368</v>
      </c>
      <c r="V19" s="31">
        <v>6546416</v>
      </c>
      <c r="W19" s="32">
        <v>71.185569000000001</v>
      </c>
      <c r="X19" s="32">
        <v>75.071019000000007</v>
      </c>
      <c r="Y19" s="32">
        <v>38.708165999999999</v>
      </c>
      <c r="Z19" s="32">
        <v>48.191471999999997</v>
      </c>
      <c r="AA19" s="32">
        <v>48.813738000000001</v>
      </c>
      <c r="AB19" s="33">
        <v>5222.8900000000003</v>
      </c>
      <c r="AC19" s="33">
        <v>4186.43</v>
      </c>
      <c r="AD19" s="33">
        <v>85.254000000000005</v>
      </c>
      <c r="AE19" s="33">
        <v>18.634</v>
      </c>
      <c r="AG19" s="28">
        <f t="shared" si="6"/>
        <v>11.3995725</v>
      </c>
      <c r="AH19" s="29">
        <f t="shared" si="7"/>
        <v>3.7693527875272796E-2</v>
      </c>
      <c r="AI19" s="29">
        <f t="shared" si="8"/>
        <v>1.7402043308858983E-2</v>
      </c>
      <c r="AJ19" s="29">
        <f t="shared" si="9"/>
        <v>1.2813155375845474E-2</v>
      </c>
      <c r="AK19" s="29">
        <f t="shared" si="10"/>
        <v>2.0291087777556595E-2</v>
      </c>
      <c r="AL19" s="26">
        <f t="shared" si="11"/>
        <v>5613720</v>
      </c>
      <c r="AM19" s="29">
        <v>16</v>
      </c>
      <c r="AN19" s="30">
        <v>33017129</v>
      </c>
      <c r="AO19" s="30">
        <v>1031785.28125</v>
      </c>
      <c r="AP19" s="30">
        <v>17789.96875</v>
      </c>
      <c r="AQ19" s="31">
        <v>12159544</v>
      </c>
      <c r="AR19" s="31">
        <v>4133392</v>
      </c>
      <c r="AS19" s="31">
        <v>1480328</v>
      </c>
      <c r="AT19" s="31">
        <v>6545696</v>
      </c>
      <c r="AU19" s="32">
        <v>71.185458999999994</v>
      </c>
      <c r="AV19" s="32">
        <v>75.071731</v>
      </c>
      <c r="AW19" s="32">
        <v>38.708156000000002</v>
      </c>
      <c r="AX19" s="32">
        <v>48.192112999999999</v>
      </c>
      <c r="AY19" s="32">
        <v>48.813997000000001</v>
      </c>
      <c r="AZ19" s="33">
        <v>6022.73</v>
      </c>
      <c r="BA19" s="33">
        <v>5377.7</v>
      </c>
      <c r="BB19" s="33">
        <v>96.304000000000002</v>
      </c>
      <c r="BC19" s="33">
        <v>24.56</v>
      </c>
      <c r="BE19" s="34">
        <f t="shared" si="12"/>
        <v>0.99722596057510149</v>
      </c>
      <c r="BF19" s="35">
        <f t="shared" si="13"/>
        <v>9.4514709460605251E-7</v>
      </c>
      <c r="BG19" s="35">
        <f t="shared" si="14"/>
        <v>-6.6798515226845767E-4</v>
      </c>
      <c r="BH19" s="35"/>
      <c r="BJ19" s="34"/>
      <c r="BK19" s="34"/>
      <c r="BL19" s="34"/>
      <c r="BM19" s="34"/>
      <c r="BN19" s="34"/>
      <c r="BP19" s="34"/>
      <c r="BQ19" s="34"/>
      <c r="BR19" s="34"/>
      <c r="BS19" s="34"/>
      <c r="BT19" s="34"/>
      <c r="BV19" s="58">
        <f t="shared" si="16"/>
        <v>-2158</v>
      </c>
      <c r="BW19" s="58">
        <f t="shared" si="15"/>
        <v>-67.4375</v>
      </c>
      <c r="BX19" s="58">
        <f t="shared" si="15"/>
        <v>-0.1875</v>
      </c>
      <c r="BY19" s="58">
        <f t="shared" si="15"/>
        <v>-16208</v>
      </c>
      <c r="BZ19" s="58">
        <f t="shared" si="15"/>
        <v>424</v>
      </c>
      <c r="CA19" s="58">
        <f t="shared" si="15"/>
        <v>-16040</v>
      </c>
      <c r="CB19" s="58">
        <f t="shared" si="15"/>
        <v>-720</v>
      </c>
      <c r="CC19" s="58">
        <f t="shared" si="15"/>
        <v>-1.1000000000649379E-4</v>
      </c>
      <c r="CD19" s="58">
        <f t="shared" si="15"/>
        <v>7.119999999929405E-4</v>
      </c>
      <c r="CE19" s="58">
        <f t="shared" si="15"/>
        <v>-9.9999999960687092E-6</v>
      </c>
      <c r="CF19" s="58">
        <f t="shared" si="15"/>
        <v>6.4100000000166801E-4</v>
      </c>
      <c r="CG19" s="58">
        <f t="shared" si="15"/>
        <v>2.5899999999978718E-4</v>
      </c>
      <c r="CJ19" t="s">
        <v>233</v>
      </c>
    </row>
    <row r="20" spans="1:88">
      <c r="A20" s="17"/>
      <c r="B20" s="17" t="s">
        <v>70</v>
      </c>
      <c r="C20" s="18" t="s">
        <v>232</v>
      </c>
      <c r="D20" s="17">
        <v>250602891</v>
      </c>
      <c r="E20" s="18">
        <v>10</v>
      </c>
      <c r="F20" s="18">
        <v>32</v>
      </c>
      <c r="G20" s="18">
        <v>50</v>
      </c>
      <c r="I20" s="19">
        <f t="shared" si="0"/>
        <v>1.9836125</v>
      </c>
      <c r="J20" s="20">
        <f t="shared" si="1"/>
        <v>5.0658314233094784E-3</v>
      </c>
      <c r="K20" s="20">
        <f t="shared" si="2"/>
        <v>3.9497708747502037E-3</v>
      </c>
      <c r="L20" s="20">
        <f t="shared" si="3"/>
        <v>2.2980102013268476E-3</v>
      </c>
      <c r="M20" s="20">
        <f t="shared" si="4"/>
        <v>1.1160605485592743E-3</v>
      </c>
      <c r="N20" s="17">
        <f t="shared" si="5"/>
        <v>989824</v>
      </c>
      <c r="O20" s="20">
        <v>16</v>
      </c>
      <c r="P20" s="21">
        <v>30379563</v>
      </c>
      <c r="Q20" s="21">
        <v>949361.34375</v>
      </c>
      <c r="R20" s="21">
        <v>28806.71875</v>
      </c>
      <c r="S20" s="22">
        <v>1269512</v>
      </c>
      <c r="T20" s="22">
        <v>575888</v>
      </c>
      <c r="U20" s="22">
        <v>413936</v>
      </c>
      <c r="V20" s="22">
        <v>279688</v>
      </c>
      <c r="W20" s="23">
        <v>67.248238000000001</v>
      </c>
      <c r="X20" s="23">
        <v>68.985433999999998</v>
      </c>
      <c r="Y20" s="23">
        <v>30.074031000000002</v>
      </c>
      <c r="Z20" s="23">
        <v>39.563031000000002</v>
      </c>
      <c r="AA20" s="23">
        <v>38.099803000000001</v>
      </c>
      <c r="AB20" s="24">
        <v>4876.4799999999996</v>
      </c>
      <c r="AC20" s="24">
        <v>3051.46</v>
      </c>
      <c r="AD20" s="24">
        <v>79.087999999999994</v>
      </c>
      <c r="AE20" s="24">
        <v>15.356</v>
      </c>
      <c r="AG20" s="19">
        <f t="shared" si="6"/>
        <v>2.0110999999999999</v>
      </c>
      <c r="AH20" s="20">
        <f t="shared" si="7"/>
        <v>5.1360301346244242E-3</v>
      </c>
      <c r="AI20" s="20">
        <f t="shared" si="8"/>
        <v>3.9899619513966422E-3</v>
      </c>
      <c r="AJ20" s="20">
        <f t="shared" si="9"/>
        <v>2.2850494569913002E-3</v>
      </c>
      <c r="AK20" s="20">
        <f t="shared" si="10"/>
        <v>1.1455574149781057E-3</v>
      </c>
      <c r="AL20" s="17">
        <f t="shared" si="11"/>
        <v>999896</v>
      </c>
      <c r="AM20" s="20">
        <v>16</v>
      </c>
      <c r="AN20" s="21">
        <v>28404785</v>
      </c>
      <c r="AO20" s="21">
        <v>887649.53125</v>
      </c>
      <c r="AP20" s="21">
        <v>25900.1875</v>
      </c>
      <c r="AQ20" s="22">
        <v>1287104</v>
      </c>
      <c r="AR20" s="22">
        <v>572640</v>
      </c>
      <c r="AS20" s="22">
        <v>427256</v>
      </c>
      <c r="AT20" s="22">
        <v>287080</v>
      </c>
      <c r="AU20" s="23">
        <v>67.044955999999999</v>
      </c>
      <c r="AV20" s="23">
        <v>68.912408999999997</v>
      </c>
      <c r="AW20" s="23">
        <v>30.223659000000001</v>
      </c>
      <c r="AX20" s="23">
        <v>39.606777999999998</v>
      </c>
      <c r="AY20" s="23">
        <v>38.150602999999997</v>
      </c>
      <c r="AZ20" s="24">
        <v>5703.37</v>
      </c>
      <c r="BA20" s="24">
        <v>3935.16</v>
      </c>
      <c r="BB20" s="24">
        <v>82.793999999999997</v>
      </c>
      <c r="BC20" s="24">
        <v>21.97</v>
      </c>
      <c r="BE20" s="49">
        <f t="shared" si="12"/>
        <v>1.010175546359757</v>
      </c>
      <c r="BF20" s="25">
        <f t="shared" si="13"/>
        <v>-1.1648669872116775E-3</v>
      </c>
      <c r="BG20" s="25">
        <f t="shared" si="14"/>
        <v>-2.8313806658685214E-3</v>
      </c>
      <c r="BH20" s="25">
        <f t="array" ref="BH20">AVERAGE(AL20:AL24/AQ20:AQ24) - AVERAGE(N20:N24/S20:S24)</f>
        <v>6.1302758469938823E-5</v>
      </c>
      <c r="BJ20" s="49">
        <f>IF( OR(ISBLANK(N20:N24),ISBLANK(AL20:AL24), ISBLANK(W20:W24),ISBLANK(AU20:AU24)), "·", bdRateExtend( N20:N24,W20:W24, AL20:AL24,AU20:AU24))</f>
        <v>0.13098205281069131</v>
      </c>
      <c r="BK20" s="49">
        <f>IF( OR(ISBLANK(N20:N24),ISBLANK(AL20:AL24), ISBLANK(X20:X24),ISBLANK(AV20:AV24)), "·", bdRateExtend( N20:N24,X20:X24, AL20:AL24,AV20:AV24))</f>
        <v>1.3880568306068097E-2</v>
      </c>
      <c r="BL20" s="49">
        <f>IF( OR(ISBLANK(V20:V24),ISBLANK(AT20:AT24), ISBLANK(Y20:Y24),ISBLANK(AW20:AW24)), "·", bdRateExtend( V20:V24,Y20:Y24, AT20:AT24,AW20:AW24))</f>
        <v>-1.6760305834841338E-2</v>
      </c>
      <c r="BM20" s="49">
        <f>IF( OR(ISBLANK(V20:V24),ISBLANK(AT20:AT24), ISBLANK(Z20:Z24),ISBLANK(AX20:AX24)), "·", bdRateExtend( V20:V24,Z20:Z24, AT20:AT24,AX20:AX24))</f>
        <v>-2.5809794368503614E-2</v>
      </c>
      <c r="BN20" s="49">
        <f>IF( OR(ISBLANK(V20:V24),ISBLANK(AT20:AT24), ISBLANK(AA20:AA24),ISBLANK(AY20:AY24)), "·", bdRateExtend( V20:V24,AA20:AA24, AT20:AT24,AY20:AY24))</f>
        <v>-4.9167693341696017E-2</v>
      </c>
      <c r="BP20" s="49">
        <f>IF( OR(ISBLANK(S20:S24),ISBLANK(AQ20:AQ24), ISBLANK(W20:W24),ISBLANK(AU20:AU24)), "·", bdRateExtend( S20:S24,W20:W24, AQ20:AQ24,AU20:AU24))</f>
        <v>0.24898404044215461</v>
      </c>
      <c r="BQ20" s="49">
        <f>IF( OR(ISBLANK(S20:S24),ISBLANK(AQ20:AQ24), ISBLANK(X20:X24),ISBLANK(AV20:AV24)), "·", bdRateExtend( S20:S24,X20:X24, AQ20:AQ24,AV20:AV24))</f>
        <v>1.7391507853307342E-2</v>
      </c>
      <c r="BR20" s="49">
        <f>IF( OR(ISBLANK(S20:S24),ISBLANK(AQ20:AQ24), ISBLANK(Y20:Y24),ISBLANK(AW20:AW24)), "·", bdRateExtend( S20:S24,Y20:Y24, AQ20:AQ24,AW20:AW24))</f>
        <v>-6.3698017532592965E-3</v>
      </c>
      <c r="BS20" s="49">
        <f>IF( OR(ISBLANK(S20:S24),ISBLANK(AQ20:AQ24), ISBLANK(Z20:Z24),ISBLANK(AX20:AX24)), "·", bdRateExtend( S20:S24,Z20:Z24, AQ20:AQ24,AX20:AX24))</f>
        <v>-2.164835443197155E-2</v>
      </c>
      <c r="BT20" s="49">
        <f>IF( OR(ISBLANK(S20:S24),ISBLANK(AQ20:AQ24), ISBLANK(AA20:AA24),ISBLANK(AY20:AY24)), "·", bdRateExtend( S20:S24,AA20:AA24, AQ20:AQ24,AY20:AY24))</f>
        <v>-3.530911489912969E-2</v>
      </c>
      <c r="BV20" s="58">
        <f t="shared" si="16"/>
        <v>-1974778</v>
      </c>
      <c r="BW20" s="58">
        <f t="shared" si="15"/>
        <v>-61711.8125</v>
      </c>
      <c r="BX20" s="58">
        <f t="shared" si="15"/>
        <v>-2906.53125</v>
      </c>
      <c r="BY20" s="58">
        <f t="shared" si="15"/>
        <v>17592</v>
      </c>
      <c r="BZ20" s="58">
        <f t="shared" si="15"/>
        <v>-3248</v>
      </c>
      <c r="CA20" s="58">
        <f t="shared" si="15"/>
        <v>13320</v>
      </c>
      <c r="CB20" s="58">
        <f t="shared" si="15"/>
        <v>7392</v>
      </c>
      <c r="CC20" s="58">
        <f t="shared" si="15"/>
        <v>-0.20328200000000152</v>
      </c>
      <c r="CD20" s="58">
        <f t="shared" si="15"/>
        <v>-7.3025000000001228E-2</v>
      </c>
      <c r="CE20" s="58">
        <f t="shared" si="15"/>
        <v>0.14962799999999987</v>
      </c>
      <c r="CF20" s="58">
        <f t="shared" si="15"/>
        <v>4.3746999999996206E-2</v>
      </c>
      <c r="CG20" s="58">
        <f t="shared" si="15"/>
        <v>5.0799999999995293E-2</v>
      </c>
      <c r="CJ20" t="s">
        <v>239</v>
      </c>
    </row>
    <row r="21" spans="1:88" outlineLevel="1">
      <c r="A21" s="52"/>
      <c r="B21" s="52" t="s">
        <v>70</v>
      </c>
      <c r="C21" s="9" t="s">
        <v>234</v>
      </c>
      <c r="D21" s="52">
        <v>250602891</v>
      </c>
      <c r="E21" s="9">
        <v>10</v>
      </c>
      <c r="F21" s="9">
        <v>32</v>
      </c>
      <c r="G21" s="9">
        <v>50</v>
      </c>
      <c r="I21" s="10">
        <f t="shared" si="0"/>
        <v>2.6581250000000001</v>
      </c>
      <c r="J21" s="11">
        <f t="shared" si="1"/>
        <v>6.7884292683598772E-3</v>
      </c>
      <c r="K21" s="11">
        <f t="shared" si="2"/>
        <v>4.6939921375448142E-3</v>
      </c>
      <c r="L21" s="11">
        <f t="shared" si="3"/>
        <v>3.0422314641214573E-3</v>
      </c>
      <c r="M21" s="11">
        <f t="shared" si="4"/>
        <v>2.094437130815063E-3</v>
      </c>
      <c r="N21" s="52">
        <f t="shared" si="5"/>
        <v>1176328</v>
      </c>
      <c r="O21" s="11">
        <v>16</v>
      </c>
      <c r="P21" s="12">
        <v>31696812</v>
      </c>
      <c r="Q21" s="12">
        <v>990525.375</v>
      </c>
      <c r="R21" s="12">
        <v>33593.15625</v>
      </c>
      <c r="S21" s="13">
        <v>1701200</v>
      </c>
      <c r="T21" s="13">
        <v>762392</v>
      </c>
      <c r="U21" s="13">
        <v>413936</v>
      </c>
      <c r="V21" s="13">
        <v>524872</v>
      </c>
      <c r="W21" s="14">
        <v>68.873231000000004</v>
      </c>
      <c r="X21" s="14">
        <v>70.998266000000001</v>
      </c>
      <c r="Y21" s="14">
        <v>31.559334</v>
      </c>
      <c r="Z21" s="14">
        <v>40.555562999999999</v>
      </c>
      <c r="AA21" s="14">
        <v>39.276837</v>
      </c>
      <c r="AB21" s="15">
        <v>4807.49</v>
      </c>
      <c r="AC21" s="15">
        <v>3310.84</v>
      </c>
      <c r="AD21" s="15">
        <v>84.971999999999994</v>
      </c>
      <c r="AE21" s="15">
        <v>16.805</v>
      </c>
      <c r="AG21" s="10">
        <f t="shared" si="6"/>
        <v>2.6805249999999998</v>
      </c>
      <c r="AH21" s="11">
        <f t="shared" si="7"/>
        <v>6.8456353123236714E-3</v>
      </c>
      <c r="AI21" s="11">
        <f t="shared" si="8"/>
        <v>4.7103367215344692E-3</v>
      </c>
      <c r="AJ21" s="11">
        <f t="shared" si="9"/>
        <v>3.005392304113523E-3</v>
      </c>
      <c r="AK21" s="11">
        <f t="shared" si="10"/>
        <v>2.1347878225395252E-3</v>
      </c>
      <c r="AL21" s="52">
        <f t="shared" si="11"/>
        <v>1180424</v>
      </c>
      <c r="AM21" s="11">
        <v>16</v>
      </c>
      <c r="AN21" s="12">
        <v>29174690</v>
      </c>
      <c r="AO21" s="12">
        <v>911709.0625</v>
      </c>
      <c r="AP21" s="12">
        <v>29645.09375</v>
      </c>
      <c r="AQ21" s="13">
        <v>1715536</v>
      </c>
      <c r="AR21" s="13">
        <v>753160</v>
      </c>
      <c r="AS21" s="13">
        <v>427264</v>
      </c>
      <c r="AT21" s="13">
        <v>534984</v>
      </c>
      <c r="AU21" s="14">
        <v>68.414612000000005</v>
      </c>
      <c r="AV21" s="14">
        <v>70.962753000000006</v>
      </c>
      <c r="AW21" s="14">
        <v>31.677731000000001</v>
      </c>
      <c r="AX21" s="14">
        <v>40.5548</v>
      </c>
      <c r="AY21" s="14">
        <v>39.355424999999997</v>
      </c>
      <c r="AZ21" s="15">
        <v>4115.07</v>
      </c>
      <c r="BA21" s="15">
        <v>3030.85</v>
      </c>
      <c r="BB21" s="15">
        <v>74.971999999999994</v>
      </c>
      <c r="BC21" s="15">
        <v>14.826000000000001</v>
      </c>
      <c r="BE21" s="50">
        <f t="shared" si="12"/>
        <v>1.0034820220210687</v>
      </c>
      <c r="BF21" s="16">
        <f t="shared" si="13"/>
        <v>-1.3985250794056325E-3</v>
      </c>
      <c r="BG21" s="16">
        <f t="shared" si="14"/>
        <v>-3.3907230636823771E-3</v>
      </c>
      <c r="BH21" s="16"/>
      <c r="BJ21" s="50"/>
      <c r="BK21" s="50"/>
      <c r="BL21" s="50"/>
      <c r="BM21" s="50"/>
      <c r="BN21" s="50"/>
      <c r="BP21" s="50"/>
      <c r="BQ21" s="50"/>
      <c r="BR21" s="50"/>
      <c r="BS21" s="50"/>
      <c r="BT21" s="50"/>
      <c r="BV21" s="58">
        <f t="shared" si="16"/>
        <v>-2522122</v>
      </c>
      <c r="BW21" s="58">
        <f t="shared" si="16"/>
        <v>-78816.3125</v>
      </c>
      <c r="BX21" s="58">
        <f t="shared" si="16"/>
        <v>-3948.0625</v>
      </c>
      <c r="BY21" s="58">
        <f t="shared" si="16"/>
        <v>14336</v>
      </c>
      <c r="BZ21" s="58">
        <f t="shared" si="16"/>
        <v>-9232</v>
      </c>
      <c r="CA21" s="58">
        <f t="shared" si="16"/>
        <v>13328</v>
      </c>
      <c r="CB21" s="58">
        <f t="shared" si="16"/>
        <v>10112</v>
      </c>
      <c r="CC21" s="58">
        <f t="shared" si="16"/>
        <v>-0.45861899999999878</v>
      </c>
      <c r="CD21" s="58">
        <f t="shared" si="16"/>
        <v>-3.5512999999994577E-2</v>
      </c>
      <c r="CE21" s="58">
        <f t="shared" si="16"/>
        <v>0.11839700000000164</v>
      </c>
      <c r="CF21" s="58">
        <f t="shared" si="16"/>
        <v>-7.62999999999181E-4</v>
      </c>
      <c r="CG21" s="58">
        <f t="shared" si="16"/>
        <v>7.8587999999996327E-2</v>
      </c>
      <c r="CJ21" t="s">
        <v>239</v>
      </c>
    </row>
    <row r="22" spans="1:88" outlineLevel="1">
      <c r="A22" s="17"/>
      <c r="B22" s="17" t="s">
        <v>70</v>
      </c>
      <c r="C22" s="18" t="s">
        <v>235</v>
      </c>
      <c r="D22" s="17">
        <v>250602891</v>
      </c>
      <c r="E22" s="18">
        <v>10</v>
      </c>
      <c r="F22" s="18">
        <v>32</v>
      </c>
      <c r="G22" s="18">
        <v>50</v>
      </c>
      <c r="I22" s="19">
        <f t="shared" si="0"/>
        <v>4.0633625000000002</v>
      </c>
      <c r="J22" s="20">
        <f t="shared" si="1"/>
        <v>1.0377182759635442E-2</v>
      </c>
      <c r="K22" s="20">
        <f t="shared" si="2"/>
        <v>5.5723219888951722E-3</v>
      </c>
      <c r="L22" s="20">
        <f t="shared" si="3"/>
        <v>3.9205613154718157E-3</v>
      </c>
      <c r="M22" s="20">
        <f t="shared" si="4"/>
        <v>4.8048607707402704E-3</v>
      </c>
      <c r="N22" s="17">
        <f t="shared" si="5"/>
        <v>1396440</v>
      </c>
      <c r="O22" s="20">
        <v>16</v>
      </c>
      <c r="P22" s="21">
        <v>32604849</v>
      </c>
      <c r="Q22" s="21">
        <v>1018901.53125</v>
      </c>
      <c r="R22" s="21">
        <v>35090.5625</v>
      </c>
      <c r="S22" s="22">
        <v>2600552</v>
      </c>
      <c r="T22" s="22">
        <v>982504</v>
      </c>
      <c r="U22" s="22">
        <v>413936</v>
      </c>
      <c r="V22" s="22">
        <v>1204112</v>
      </c>
      <c r="W22" s="23">
        <v>70.092033999999998</v>
      </c>
      <c r="X22" s="23">
        <v>72.552463000000003</v>
      </c>
      <c r="Y22" s="23">
        <v>33.366719000000003</v>
      </c>
      <c r="Z22" s="23">
        <v>41.756605999999998</v>
      </c>
      <c r="AA22" s="23">
        <v>40.520646999999997</v>
      </c>
      <c r="AB22" s="24">
        <v>4683.8100000000004</v>
      </c>
      <c r="AC22" s="24">
        <v>3363.45</v>
      </c>
      <c r="AD22" s="24">
        <v>84.230999999999995</v>
      </c>
      <c r="AE22" s="24">
        <v>16.602</v>
      </c>
      <c r="AG22" s="19">
        <f t="shared" si="6"/>
        <v>4.0313125000000003</v>
      </c>
      <c r="AH22" s="20">
        <f t="shared" si="7"/>
        <v>1.0295332147624745E-2</v>
      </c>
      <c r="AI22" s="20">
        <f t="shared" si="8"/>
        <v>5.5531681795322942E-3</v>
      </c>
      <c r="AJ22" s="20">
        <f t="shared" si="9"/>
        <v>3.8482556851269526E-3</v>
      </c>
      <c r="AK22" s="20">
        <f t="shared" si="10"/>
        <v>4.7416531998427745E-3</v>
      </c>
      <c r="AL22" s="17">
        <f t="shared" si="11"/>
        <v>1391640</v>
      </c>
      <c r="AM22" s="20">
        <v>16</v>
      </c>
      <c r="AN22" s="21">
        <v>29726758</v>
      </c>
      <c r="AO22" s="21">
        <v>928961.1875</v>
      </c>
      <c r="AP22" s="21">
        <v>30512.71875</v>
      </c>
      <c r="AQ22" s="22">
        <v>2580040</v>
      </c>
      <c r="AR22" s="22">
        <v>964384</v>
      </c>
      <c r="AS22" s="22">
        <v>427256</v>
      </c>
      <c r="AT22" s="22">
        <v>1188272</v>
      </c>
      <c r="AU22" s="23">
        <v>69.459615999999997</v>
      </c>
      <c r="AV22" s="23">
        <v>72.586883999999998</v>
      </c>
      <c r="AW22" s="23">
        <v>33.436737000000001</v>
      </c>
      <c r="AX22" s="23">
        <v>41.792188000000003</v>
      </c>
      <c r="AY22" s="23">
        <v>40.580106000000001</v>
      </c>
      <c r="AZ22" s="24">
        <v>5470.54</v>
      </c>
      <c r="BA22" s="24">
        <v>4520.3599999999997</v>
      </c>
      <c r="BB22" s="24">
        <v>87.293999999999997</v>
      </c>
      <c r="BC22" s="24">
        <v>21.832999999999998</v>
      </c>
      <c r="BE22" s="49">
        <f t="shared" si="12"/>
        <v>0.99656268797800118</v>
      </c>
      <c r="BF22" s="25">
        <f t="shared" si="13"/>
        <v>-1.5935371578519736E-3</v>
      </c>
      <c r="BG22" s="25">
        <f t="shared" si="14"/>
        <v>2.4086831803111775E-3</v>
      </c>
      <c r="BH22" s="25"/>
      <c r="BJ22" s="49"/>
      <c r="BK22" s="49"/>
      <c r="BL22" s="49"/>
      <c r="BM22" s="49"/>
      <c r="BN22" s="49"/>
      <c r="BP22" s="49"/>
      <c r="BQ22" s="49"/>
      <c r="BR22" s="49"/>
      <c r="BS22" s="49"/>
      <c r="BT22" s="49"/>
      <c r="BV22" s="58">
        <f t="shared" si="16"/>
        <v>-2878091</v>
      </c>
      <c r="BW22" s="58">
        <f t="shared" si="16"/>
        <v>-89940.34375</v>
      </c>
      <c r="BX22" s="58">
        <f t="shared" si="16"/>
        <v>-4577.84375</v>
      </c>
      <c r="BY22" s="58">
        <f t="shared" si="16"/>
        <v>-20512</v>
      </c>
      <c r="BZ22" s="58">
        <f t="shared" si="16"/>
        <v>-18120</v>
      </c>
      <c r="CA22" s="58">
        <f t="shared" si="16"/>
        <v>13320</v>
      </c>
      <c r="CB22" s="58">
        <f t="shared" si="16"/>
        <v>-15840</v>
      </c>
      <c r="CC22" s="58">
        <f t="shared" si="16"/>
        <v>-0.63241800000000126</v>
      </c>
      <c r="CD22" s="58">
        <f t="shared" si="16"/>
        <v>3.4420999999994706E-2</v>
      </c>
      <c r="CE22" s="58">
        <f t="shared" si="16"/>
        <v>7.0017999999997471E-2</v>
      </c>
      <c r="CF22" s="58">
        <f t="shared" si="16"/>
        <v>3.558200000000511E-2</v>
      </c>
      <c r="CG22" s="58">
        <f t="shared" si="16"/>
        <v>5.9459000000003925E-2</v>
      </c>
      <c r="CJ22" t="s">
        <v>239</v>
      </c>
    </row>
    <row r="23" spans="1:88" outlineLevel="1">
      <c r="A23" s="52"/>
      <c r="B23" s="52" t="s">
        <v>70</v>
      </c>
      <c r="C23" s="9" t="s">
        <v>236</v>
      </c>
      <c r="D23" s="52">
        <v>250602891</v>
      </c>
      <c r="E23" s="9">
        <v>10</v>
      </c>
      <c r="F23" s="9">
        <v>32</v>
      </c>
      <c r="G23" s="9">
        <v>50</v>
      </c>
      <c r="I23" s="10">
        <f t="shared" si="0"/>
        <v>7.6368124999999996</v>
      </c>
      <c r="J23" s="11">
        <f t="shared" si="1"/>
        <v>1.9503206768672114E-2</v>
      </c>
      <c r="K23" s="11">
        <f t="shared" si="2"/>
        <v>8.2705829598749524E-3</v>
      </c>
      <c r="L23" s="11">
        <f t="shared" si="3"/>
        <v>6.6188222864515959E-3</v>
      </c>
      <c r="M23" s="11">
        <f t="shared" si="4"/>
        <v>1.1232623808797162E-2</v>
      </c>
      <c r="N23" s="52">
        <f t="shared" si="5"/>
        <v>2072632</v>
      </c>
      <c r="O23" s="11">
        <v>16</v>
      </c>
      <c r="P23" s="12">
        <v>32813316</v>
      </c>
      <c r="Q23" s="12">
        <v>1025416.125</v>
      </c>
      <c r="R23" s="12">
        <v>37028.40625</v>
      </c>
      <c r="S23" s="13">
        <v>4887560</v>
      </c>
      <c r="T23" s="13">
        <v>1658696</v>
      </c>
      <c r="U23" s="13">
        <v>413936</v>
      </c>
      <c r="V23" s="13">
        <v>2814928</v>
      </c>
      <c r="W23" s="14">
        <v>71.045558999999997</v>
      </c>
      <c r="X23" s="14">
        <v>73.797391000000005</v>
      </c>
      <c r="Y23" s="14">
        <v>35.144280999999999</v>
      </c>
      <c r="Z23" s="14">
        <v>42.778806000000003</v>
      </c>
      <c r="AA23" s="14">
        <v>41.512503000000002</v>
      </c>
      <c r="AB23" s="15">
        <v>5061.55</v>
      </c>
      <c r="AC23" s="15">
        <v>3762.9</v>
      </c>
      <c r="AD23" s="15">
        <v>86.265000000000001</v>
      </c>
      <c r="AE23" s="15">
        <v>17.387</v>
      </c>
      <c r="AG23" s="10">
        <f t="shared" si="6"/>
        <v>7.5328499999999998</v>
      </c>
      <c r="AH23" s="11">
        <f t="shared" si="7"/>
        <v>1.9237703047887026E-2</v>
      </c>
      <c r="AI23" s="11">
        <f t="shared" si="8"/>
        <v>8.1675993115338796E-3</v>
      </c>
      <c r="AJ23" s="11">
        <f t="shared" si="9"/>
        <v>6.4626548941129338E-3</v>
      </c>
      <c r="AK23" s="11">
        <f t="shared" si="10"/>
        <v>1.1069592968103469E-2</v>
      </c>
      <c r="AL23" s="52">
        <f t="shared" si="11"/>
        <v>2046824</v>
      </c>
      <c r="AM23" s="11">
        <v>16</v>
      </c>
      <c r="AN23" s="12">
        <v>30149366</v>
      </c>
      <c r="AO23" s="12">
        <v>942167.6875</v>
      </c>
      <c r="AP23" s="12">
        <v>32415.8125</v>
      </c>
      <c r="AQ23" s="13">
        <v>4821024</v>
      </c>
      <c r="AR23" s="13">
        <v>1619560</v>
      </c>
      <c r="AS23" s="13">
        <v>427264</v>
      </c>
      <c r="AT23" s="13">
        <v>2774072</v>
      </c>
      <c r="AU23" s="14">
        <v>70.333761999999993</v>
      </c>
      <c r="AV23" s="14">
        <v>73.811041000000003</v>
      </c>
      <c r="AW23" s="14">
        <v>35.099437999999999</v>
      </c>
      <c r="AX23" s="14">
        <v>42.832586999999997</v>
      </c>
      <c r="AY23" s="14">
        <v>41.578859000000001</v>
      </c>
      <c r="AZ23" s="15">
        <v>4256.68</v>
      </c>
      <c r="BA23" s="15">
        <v>3417.89</v>
      </c>
      <c r="BB23" s="15">
        <v>78.597999999999999</v>
      </c>
      <c r="BC23" s="15">
        <v>16.071999999999999</v>
      </c>
      <c r="BE23" s="50">
        <f t="shared" si="12"/>
        <v>0.9875481995839106</v>
      </c>
      <c r="BF23" s="16">
        <f t="shared" si="13"/>
        <v>-1.7050484203058464E-3</v>
      </c>
      <c r="BG23" s="16">
        <f t="shared" si="14"/>
        <v>4.9936223186275441E-4</v>
      </c>
      <c r="BH23" s="16"/>
      <c r="BJ23" s="50"/>
      <c r="BK23" s="50"/>
      <c r="BL23" s="50"/>
      <c r="BM23" s="50"/>
      <c r="BN23" s="50"/>
      <c r="BP23" s="50"/>
      <c r="BQ23" s="50"/>
      <c r="BR23" s="50"/>
      <c r="BS23" s="50"/>
      <c r="BT23" s="50"/>
      <c r="BV23" s="58">
        <f t="shared" si="16"/>
        <v>-2663950</v>
      </c>
      <c r="BW23" s="58">
        <f t="shared" si="16"/>
        <v>-83248.4375</v>
      </c>
      <c r="BX23" s="58">
        <f t="shared" si="16"/>
        <v>-4612.59375</v>
      </c>
      <c r="BY23" s="58">
        <f t="shared" si="16"/>
        <v>-66536</v>
      </c>
      <c r="BZ23" s="58">
        <f t="shared" si="16"/>
        <v>-39136</v>
      </c>
      <c r="CA23" s="58">
        <f t="shared" si="16"/>
        <v>13328</v>
      </c>
      <c r="CB23" s="58">
        <f t="shared" si="16"/>
        <v>-40856</v>
      </c>
      <c r="CC23" s="58">
        <f t="shared" si="16"/>
        <v>-0.71179700000000423</v>
      </c>
      <c r="CD23" s="58">
        <f t="shared" si="16"/>
        <v>1.3649999999998386E-2</v>
      </c>
      <c r="CE23" s="58">
        <f t="shared" si="16"/>
        <v>-4.4843000000000188E-2</v>
      </c>
      <c r="CF23" s="58">
        <f t="shared" si="16"/>
        <v>5.3780999999993639E-2</v>
      </c>
      <c r="CG23" s="58">
        <f t="shared" si="16"/>
        <v>6.6355999999998971E-2</v>
      </c>
      <c r="CJ23" t="s">
        <v>239</v>
      </c>
    </row>
    <row r="24" spans="1:88" ht="16" outlineLevel="1" thickBot="1">
      <c r="A24" s="36"/>
      <c r="B24" s="36" t="s">
        <v>70</v>
      </c>
      <c r="C24" s="37" t="s">
        <v>237</v>
      </c>
      <c r="D24" s="36">
        <v>250602891</v>
      </c>
      <c r="E24" s="37">
        <v>10</v>
      </c>
      <c r="F24" s="37">
        <v>32</v>
      </c>
      <c r="G24" s="37">
        <v>50</v>
      </c>
      <c r="I24" s="38">
        <f t="shared" si="0"/>
        <v>15.560762499999999</v>
      </c>
      <c r="J24" s="39">
        <f t="shared" si="1"/>
        <v>3.9739717128801998E-2</v>
      </c>
      <c r="K24" s="39">
        <f t="shared" si="2"/>
        <v>1.4241814951767656E-2</v>
      </c>
      <c r="L24" s="39">
        <f t="shared" si="3"/>
        <v>1.0614817687797545E-2</v>
      </c>
      <c r="M24" s="39">
        <f t="shared" si="4"/>
        <v>2.5497902177034341E-2</v>
      </c>
      <c r="N24" s="36">
        <f t="shared" si="5"/>
        <v>3569040</v>
      </c>
      <c r="O24" s="39">
        <v>16</v>
      </c>
      <c r="P24" s="40">
        <v>31274990</v>
      </c>
      <c r="Q24" s="40">
        <v>977343.4375</v>
      </c>
      <c r="R24" s="40">
        <v>17914.71875</v>
      </c>
      <c r="S24" s="41">
        <v>9958888</v>
      </c>
      <c r="T24" s="41">
        <v>2660104</v>
      </c>
      <c r="U24" s="41">
        <v>908936</v>
      </c>
      <c r="V24" s="41">
        <v>6389848</v>
      </c>
      <c r="W24" s="42">
        <v>71.767975000000007</v>
      </c>
      <c r="X24" s="42">
        <v>75.810796999999994</v>
      </c>
      <c r="Y24" s="42">
        <v>36.616746999999997</v>
      </c>
      <c r="Z24" s="42">
        <v>43.678193999999998</v>
      </c>
      <c r="AA24" s="42">
        <v>42.226711999999999</v>
      </c>
      <c r="AB24" s="43">
        <v>4642.8500000000004</v>
      </c>
      <c r="AC24" s="43">
        <v>4142.54</v>
      </c>
      <c r="AD24" s="43">
        <v>79.427000000000007</v>
      </c>
      <c r="AE24" s="43">
        <v>18.762</v>
      </c>
      <c r="AG24" s="38">
        <f t="shared" si="6"/>
        <v>15.300812499999999</v>
      </c>
      <c r="AH24" s="39">
        <f t="shared" si="7"/>
        <v>3.9075846096284658E-2</v>
      </c>
      <c r="AI24" s="39">
        <f t="shared" si="8"/>
        <v>1.4145375521625567E-2</v>
      </c>
      <c r="AJ24" s="39">
        <f t="shared" si="9"/>
        <v>1.0393048498391027E-2</v>
      </c>
      <c r="AK24" s="39">
        <f t="shared" si="10"/>
        <v>2.4929959806409416E-2</v>
      </c>
      <c r="AL24" s="36">
        <f t="shared" si="11"/>
        <v>3544872</v>
      </c>
      <c r="AM24" s="39">
        <v>16</v>
      </c>
      <c r="AN24" s="40">
        <v>28617807</v>
      </c>
      <c r="AO24" s="40">
        <v>894306.46875</v>
      </c>
      <c r="AP24" s="40">
        <v>15280.96875</v>
      </c>
      <c r="AQ24" s="41">
        <v>9792520</v>
      </c>
      <c r="AR24" s="41">
        <v>2604528</v>
      </c>
      <c r="AS24" s="41">
        <v>940344</v>
      </c>
      <c r="AT24" s="41">
        <v>6247520</v>
      </c>
      <c r="AU24" s="42">
        <v>70.593384</v>
      </c>
      <c r="AV24" s="42">
        <v>74.602806000000001</v>
      </c>
      <c r="AW24" s="42">
        <v>36.449609000000002</v>
      </c>
      <c r="AX24" s="42">
        <v>43.725102999999997</v>
      </c>
      <c r="AY24" s="42">
        <v>42.322508999999997</v>
      </c>
      <c r="AZ24" s="43">
        <v>5061.46</v>
      </c>
      <c r="BA24" s="43">
        <v>4940.1400000000003</v>
      </c>
      <c r="BB24" s="43">
        <v>83.221000000000004</v>
      </c>
      <c r="BC24" s="43">
        <v>24.904</v>
      </c>
      <c r="BE24" s="44">
        <f t="shared" si="12"/>
        <v>0.99322843117476967</v>
      </c>
      <c r="BF24" s="45">
        <f t="shared" si="13"/>
        <v>-1.2430651585567977E-3</v>
      </c>
      <c r="BG24" s="45">
        <f t="shared" si="14"/>
        <v>3.6205721097267163E-3</v>
      </c>
      <c r="BH24" s="45"/>
      <c r="BJ24" s="44"/>
      <c r="BK24" s="44"/>
      <c r="BL24" s="44"/>
      <c r="BM24" s="44"/>
      <c r="BN24" s="44"/>
      <c r="BP24" s="44"/>
      <c r="BQ24" s="44"/>
      <c r="BR24" s="44"/>
      <c r="BS24" s="44"/>
      <c r="BT24" s="44"/>
      <c r="BV24" s="58">
        <f t="shared" si="16"/>
        <v>-2657183</v>
      </c>
      <c r="BW24" s="58">
        <f t="shared" si="16"/>
        <v>-83036.96875</v>
      </c>
      <c r="BX24" s="58">
        <f t="shared" si="16"/>
        <v>-2633.75</v>
      </c>
      <c r="BY24" s="58">
        <f t="shared" si="16"/>
        <v>-166368</v>
      </c>
      <c r="BZ24" s="58">
        <f t="shared" si="16"/>
        <v>-55576</v>
      </c>
      <c r="CA24" s="58">
        <f t="shared" si="16"/>
        <v>31408</v>
      </c>
      <c r="CB24" s="58">
        <f t="shared" si="16"/>
        <v>-142328</v>
      </c>
      <c r="CC24" s="58">
        <f t="shared" si="16"/>
        <v>-1.1745910000000066</v>
      </c>
      <c r="CD24" s="58">
        <f t="shared" si="16"/>
        <v>-1.2079909999999927</v>
      </c>
      <c r="CE24" s="58">
        <f t="shared" si="16"/>
        <v>-0.16713799999999424</v>
      </c>
      <c r="CF24" s="58">
        <f t="shared" si="16"/>
        <v>4.6908999999999423E-2</v>
      </c>
      <c r="CG24" s="58">
        <f t="shared" si="16"/>
        <v>9.5796999999997468E-2</v>
      </c>
      <c r="CJ24" t="s">
        <v>239</v>
      </c>
    </row>
    <row r="25" spans="1:88">
      <c r="A25" s="52" t="s">
        <v>240</v>
      </c>
      <c r="B25" s="52" t="s">
        <v>73</v>
      </c>
      <c r="C25" s="9" t="s">
        <v>232</v>
      </c>
      <c r="D25" s="52">
        <v>250294582</v>
      </c>
      <c r="E25" s="9">
        <v>10</v>
      </c>
      <c r="F25" s="9">
        <v>32</v>
      </c>
      <c r="G25" s="9">
        <v>30</v>
      </c>
      <c r="I25" s="10">
        <f t="shared" si="0"/>
        <v>2.0607825000000002</v>
      </c>
      <c r="J25" s="11">
        <f t="shared" si="1"/>
        <v>8.7823235422650903E-3</v>
      </c>
      <c r="K25" s="11">
        <f t="shared" si="2"/>
        <v>5.7151217120632678E-3</v>
      </c>
      <c r="L25" s="11">
        <f t="shared" si="3"/>
        <v>3.5055013695821828E-3</v>
      </c>
      <c r="M25" s="11">
        <f t="shared" si="4"/>
        <v>3.0672018302018221E-3</v>
      </c>
      <c r="N25" s="52">
        <f t="shared" si="5"/>
        <v>1430464</v>
      </c>
      <c r="O25" s="11">
        <v>16</v>
      </c>
      <c r="P25" s="12">
        <v>23423729</v>
      </c>
      <c r="Q25" s="12">
        <v>731991.53125</v>
      </c>
      <c r="R25" s="12">
        <v>14601.28125</v>
      </c>
      <c r="S25" s="13">
        <v>2198168</v>
      </c>
      <c r="T25" s="13">
        <v>877408</v>
      </c>
      <c r="U25" s="13">
        <v>553056</v>
      </c>
      <c r="V25" s="13">
        <v>767704</v>
      </c>
      <c r="W25" s="14">
        <v>66.249555999999998</v>
      </c>
      <c r="X25" s="14">
        <v>68.002122</v>
      </c>
      <c r="Y25" s="14">
        <v>25.914252999999999</v>
      </c>
      <c r="Z25" s="14">
        <v>32.457703000000002</v>
      </c>
      <c r="AA25" s="14">
        <v>31.662741</v>
      </c>
      <c r="AB25" s="15">
        <v>1489.4</v>
      </c>
      <c r="AC25" s="15">
        <v>3716.85</v>
      </c>
      <c r="AD25" s="15">
        <v>57.301000000000002</v>
      </c>
      <c r="AE25" s="15">
        <v>15.395</v>
      </c>
      <c r="AG25" s="10">
        <f t="shared" si="6"/>
        <v>2.0448974999999998</v>
      </c>
      <c r="AH25" s="11">
        <f t="shared" si="7"/>
        <v>8.7146273106303192E-3</v>
      </c>
      <c r="AI25" s="11">
        <f t="shared" si="8"/>
        <v>5.6551923285339031E-3</v>
      </c>
      <c r="AJ25" s="11">
        <f t="shared" si="9"/>
        <v>3.5053415578927714E-3</v>
      </c>
      <c r="AK25" s="11">
        <f t="shared" si="10"/>
        <v>3.0589235846902991E-3</v>
      </c>
      <c r="AL25" s="52">
        <f t="shared" si="11"/>
        <v>1415464</v>
      </c>
      <c r="AM25" s="11">
        <v>16</v>
      </c>
      <c r="AN25" s="12">
        <v>23412684</v>
      </c>
      <c r="AO25" s="12">
        <v>731646.375</v>
      </c>
      <c r="AP25" s="12">
        <v>14608.875</v>
      </c>
      <c r="AQ25" s="13">
        <v>2181224</v>
      </c>
      <c r="AR25" s="13">
        <v>877368</v>
      </c>
      <c r="AS25" s="13">
        <v>538096</v>
      </c>
      <c r="AT25" s="13">
        <v>765632</v>
      </c>
      <c r="AU25" s="14">
        <v>66.251324999999994</v>
      </c>
      <c r="AV25" s="14">
        <v>68.010493999999994</v>
      </c>
      <c r="AW25" s="14">
        <v>25.909769000000001</v>
      </c>
      <c r="AX25" s="14">
        <v>32.463175</v>
      </c>
      <c r="AY25" s="14">
        <v>31.666146999999999</v>
      </c>
      <c r="AZ25" s="15">
        <v>1491.57</v>
      </c>
      <c r="BA25" s="15">
        <v>3654.56</v>
      </c>
      <c r="BB25" s="15">
        <v>57.975000000000001</v>
      </c>
      <c r="BC25" s="15">
        <v>15.289</v>
      </c>
      <c r="BE25" s="50">
        <f t="shared" si="12"/>
        <v>0.9895138919958838</v>
      </c>
      <c r="BF25" s="16">
        <f t="shared" si="13"/>
        <v>1.9789201850809596E-5</v>
      </c>
      <c r="BG25" s="16">
        <f t="shared" si="14"/>
        <v>-1.8217498108146213E-3</v>
      </c>
      <c r="BH25" s="16">
        <f t="array" ref="BH25">AVERAGE(AL25:AL29/AQ25:AQ29) - AVERAGE(N25:N29/S25:S29)</f>
        <v>-1.5564454430357366E-3</v>
      </c>
      <c r="BJ25" s="50">
        <f>IF( OR(ISBLANK(N25:N29),ISBLANK(AL25:AL29), ISBLANK(W25:W29),ISBLANK(AU25:AU29)), "·", bdRateExtend( N25:N29,W25:W29, AL25:AL29,AU25:AU29))</f>
        <v>-5.2582902978909329E-3</v>
      </c>
      <c r="BK25" s="50">
        <f>IF( OR(ISBLANK(N25:N29),ISBLANK(AL25:AL29), ISBLANK(X25:X29),ISBLANK(AV25:AV29)), "·", bdRateExtend( N25:N29,X25:X29, AL25:AL29,AV25:AV29))</f>
        <v>-4.8612829018710446E-3</v>
      </c>
      <c r="BL25" s="50">
        <f>IF( OR(ISBLANK(V25:V29),ISBLANK(AT25:AT29), ISBLANK(Y25:Y29),ISBLANK(AW25:AW29)), "·", bdRateExtend( V25:V29,Y25:Y29, AT25:AT29,AW25:AW29))</f>
        <v>-2.6959069535559266E-4</v>
      </c>
      <c r="BM25" s="50">
        <f>IF( OR(ISBLANK(V25:V29),ISBLANK(AT25:AT29), ISBLANK(Z25:Z29),ISBLANK(AX25:AX29)), "·", bdRateExtend( V25:V29,Z25:Z29, AT25:AT29,AX25:AX29))</f>
        <v>-7.9207025183631874E-3</v>
      </c>
      <c r="BN25" s="50">
        <f>IF( OR(ISBLANK(V25:V29),ISBLANK(AT25:AT29), ISBLANK(AA25:AA29),ISBLANK(AY25:AY29)), "·", bdRateExtend( V25:V29,AA25:AA29, AT25:AT29,AY25:AY29))</f>
        <v>-3.7052872889761224E-3</v>
      </c>
      <c r="BP25" s="50">
        <f>IF( OR(ISBLANK(S25:S29),ISBLANK(AQ25:AQ29), ISBLANK(W25:W29),ISBLANK(AU25:AU29)), "·", bdRateExtend( S25:S29,W25:W29, AQ25:AQ29,AU25:AU29))</f>
        <v>1.6764534255724328E-3</v>
      </c>
      <c r="BQ25" s="50">
        <f>IF( OR(ISBLANK(S25:S29),ISBLANK(AQ25:AQ29), ISBLANK(X25:X29),ISBLANK(AV25:AV29)), "·", bdRateExtend( S25:S29,X25:X29, AQ25:AQ29,AV25:AV29))</f>
        <v>2.3529109477540278E-3</v>
      </c>
      <c r="BR25" s="50">
        <f>IF( OR(ISBLANK(S25:S29),ISBLANK(AQ25:AQ29), ISBLANK(Y25:Y29),ISBLANK(AW25:AW29)), "·", bdRateExtend( S25:S29,Y25:Y29, AQ25:AQ29,AW25:AW29))</f>
        <v>-3.4122159303344723E-3</v>
      </c>
      <c r="BS25" s="50">
        <f>IF( OR(ISBLANK(S25:S29),ISBLANK(AQ25:AQ29), ISBLANK(Z25:Z29),ISBLANK(AX25:AX29)), "·", bdRateExtend( S25:S29,Z25:Z29, AQ25:AQ29,AX25:AX29))</f>
        <v>-9.3542380963698157E-3</v>
      </c>
      <c r="BT25" s="50">
        <f>IF( OR(ISBLANK(S25:S29),ISBLANK(AQ25:AQ29), ISBLANK(AA25:AA29),ISBLANK(AY25:AY29)), "·", bdRateExtend( S25:S29,AA25:AA29, AQ25:AQ29,AY25:AY29))</f>
        <v>-5.9709376515257873E-3</v>
      </c>
      <c r="BV25" s="58">
        <f t="shared" si="16"/>
        <v>-11045</v>
      </c>
      <c r="BW25" s="58">
        <f t="shared" si="16"/>
        <v>-345.15625</v>
      </c>
      <c r="BX25" s="58">
        <f t="shared" si="16"/>
        <v>7.59375</v>
      </c>
      <c r="BY25" s="58">
        <f t="shared" si="16"/>
        <v>-16944</v>
      </c>
      <c r="BZ25" s="58">
        <f t="shared" si="16"/>
        <v>-40</v>
      </c>
      <c r="CA25" s="58">
        <f t="shared" si="16"/>
        <v>-14960</v>
      </c>
      <c r="CB25" s="58">
        <f t="shared" si="16"/>
        <v>-2072</v>
      </c>
      <c r="CC25" s="58">
        <f t="shared" si="16"/>
        <v>1.7689999999959127E-3</v>
      </c>
      <c r="CD25" s="58">
        <f t="shared" si="16"/>
        <v>8.3719999999942729E-3</v>
      </c>
      <c r="CE25" s="58">
        <f t="shared" si="16"/>
        <v>-4.4839999999979341E-3</v>
      </c>
      <c r="CF25" s="58">
        <f t="shared" si="16"/>
        <v>5.4719999999974789E-3</v>
      </c>
      <c r="CG25" s="58">
        <f t="shared" si="16"/>
        <v>3.4059999999982438E-3</v>
      </c>
      <c r="CJ25" t="s">
        <v>579</v>
      </c>
    </row>
    <row r="26" spans="1:88" outlineLevel="1">
      <c r="A26" s="17"/>
      <c r="B26" s="17" t="s">
        <v>73</v>
      </c>
      <c r="C26" s="18" t="s">
        <v>234</v>
      </c>
      <c r="D26" s="17">
        <v>250294582</v>
      </c>
      <c r="E26" s="18">
        <v>10</v>
      </c>
      <c r="F26" s="18">
        <v>32</v>
      </c>
      <c r="G26" s="18">
        <v>30</v>
      </c>
      <c r="I26" s="19">
        <f t="shared" si="0"/>
        <v>3.1715550000000001</v>
      </c>
      <c r="J26" s="20">
        <f t="shared" si="1"/>
        <v>1.3516041669651483E-2</v>
      </c>
      <c r="K26" s="20">
        <f t="shared" si="2"/>
        <v>7.1894484715614021E-3</v>
      </c>
      <c r="L26" s="20">
        <f t="shared" si="3"/>
        <v>4.9798281290803171E-3</v>
      </c>
      <c r="M26" s="20">
        <f t="shared" si="4"/>
        <v>6.3265931980900809E-3</v>
      </c>
      <c r="N26" s="17">
        <f t="shared" si="5"/>
        <v>1799480</v>
      </c>
      <c r="O26" s="20">
        <v>16</v>
      </c>
      <c r="P26" s="21">
        <v>24642332</v>
      </c>
      <c r="Q26" s="21">
        <v>770072.875</v>
      </c>
      <c r="R26" s="21">
        <v>17838.375</v>
      </c>
      <c r="S26" s="22">
        <v>3382992</v>
      </c>
      <c r="T26" s="22">
        <v>1246424</v>
      </c>
      <c r="U26" s="22">
        <v>553056</v>
      </c>
      <c r="V26" s="22">
        <v>1583512</v>
      </c>
      <c r="W26" s="23">
        <v>68.005358999999999</v>
      </c>
      <c r="X26" s="23">
        <v>70.016609000000003</v>
      </c>
      <c r="Y26" s="23">
        <v>27.918291</v>
      </c>
      <c r="Z26" s="23">
        <v>33.668056</v>
      </c>
      <c r="AA26" s="23">
        <v>33.040233999999998</v>
      </c>
      <c r="AB26" s="24">
        <v>1417.61</v>
      </c>
      <c r="AC26" s="24">
        <v>3809.92</v>
      </c>
      <c r="AD26" s="24">
        <v>58.838999999999999</v>
      </c>
      <c r="AE26" s="24">
        <v>15.72</v>
      </c>
      <c r="AG26" s="19">
        <f t="shared" si="6"/>
        <v>3.15978</v>
      </c>
      <c r="AH26" s="20">
        <f t="shared" si="7"/>
        <v>1.3465860799176228E-2</v>
      </c>
      <c r="AI26" s="20">
        <f t="shared" si="8"/>
        <v>7.1270899503529809E-3</v>
      </c>
      <c r="AJ26" s="20">
        <f t="shared" si="9"/>
        <v>4.9772391797118483E-3</v>
      </c>
      <c r="AK26" s="20">
        <f t="shared" si="10"/>
        <v>6.3382594514171308E-3</v>
      </c>
      <c r="AL26" s="17">
        <f t="shared" si="11"/>
        <v>1783872</v>
      </c>
      <c r="AM26" s="20">
        <v>16</v>
      </c>
      <c r="AN26" s="21">
        <v>24648707</v>
      </c>
      <c r="AO26" s="21">
        <v>770272.09375</v>
      </c>
      <c r="AP26" s="21">
        <v>17797.65625</v>
      </c>
      <c r="AQ26" s="22">
        <v>3370432</v>
      </c>
      <c r="AR26" s="22">
        <v>1245776</v>
      </c>
      <c r="AS26" s="22">
        <v>538096</v>
      </c>
      <c r="AT26" s="22">
        <v>1586432</v>
      </c>
      <c r="AU26" s="23">
        <v>68.002730999999997</v>
      </c>
      <c r="AV26" s="23">
        <v>70.010191000000006</v>
      </c>
      <c r="AW26" s="23">
        <v>27.925791</v>
      </c>
      <c r="AX26" s="23">
        <v>33.677399999999999</v>
      </c>
      <c r="AY26" s="23">
        <v>33.051555999999998</v>
      </c>
      <c r="AZ26" s="24">
        <v>1516.05</v>
      </c>
      <c r="BA26" s="24">
        <v>3896.82</v>
      </c>
      <c r="BB26" s="24">
        <v>61.15</v>
      </c>
      <c r="BC26" s="24">
        <v>15.919</v>
      </c>
      <c r="BE26" s="49">
        <f t="shared" si="12"/>
        <v>0.99132638317736244</v>
      </c>
      <c r="BF26" s="25">
        <f t="shared" si="13"/>
        <v>-5.8853954030557015E-5</v>
      </c>
      <c r="BG26" s="25">
        <f t="shared" si="14"/>
        <v>-2.648648274519716E-3</v>
      </c>
      <c r="BH26" s="25"/>
      <c r="BJ26" s="49"/>
      <c r="BK26" s="49"/>
      <c r="BL26" s="49"/>
      <c r="BM26" s="49"/>
      <c r="BN26" s="49"/>
      <c r="BP26" s="49"/>
      <c r="BQ26" s="49"/>
      <c r="BR26" s="49"/>
      <c r="BS26" s="49"/>
      <c r="BT26" s="49"/>
      <c r="BV26" s="58">
        <f t="shared" si="16"/>
        <v>6375</v>
      </c>
      <c r="BW26" s="58">
        <f t="shared" si="16"/>
        <v>199.21875</v>
      </c>
      <c r="BX26" s="58">
        <f t="shared" si="16"/>
        <v>-40.71875</v>
      </c>
      <c r="BY26" s="58">
        <f t="shared" si="16"/>
        <v>-12560</v>
      </c>
      <c r="BZ26" s="58">
        <f t="shared" si="16"/>
        <v>-648</v>
      </c>
      <c r="CA26" s="58">
        <f t="shared" si="16"/>
        <v>-14960</v>
      </c>
      <c r="CB26" s="58">
        <f t="shared" si="16"/>
        <v>2920</v>
      </c>
      <c r="CC26" s="58">
        <f t="shared" si="16"/>
        <v>-2.628000000001407E-3</v>
      </c>
      <c r="CD26" s="58">
        <f t="shared" si="16"/>
        <v>-6.4179999999964821E-3</v>
      </c>
      <c r="CE26" s="58">
        <f t="shared" si="16"/>
        <v>7.5000000000002842E-3</v>
      </c>
      <c r="CF26" s="58">
        <f t="shared" si="16"/>
        <v>9.3439999999986867E-3</v>
      </c>
      <c r="CG26" s="58">
        <f t="shared" si="16"/>
        <v>1.1321999999999832E-2</v>
      </c>
      <c r="CJ26" t="s">
        <v>579</v>
      </c>
    </row>
    <row r="27" spans="1:88" outlineLevel="1">
      <c r="A27" s="52"/>
      <c r="B27" s="52" t="s">
        <v>73</v>
      </c>
      <c r="C27" s="9" t="s">
        <v>235</v>
      </c>
      <c r="D27" s="52">
        <v>250294582</v>
      </c>
      <c r="E27" s="9">
        <v>10</v>
      </c>
      <c r="F27" s="9">
        <v>32</v>
      </c>
      <c r="G27" s="9">
        <v>30</v>
      </c>
      <c r="I27" s="10">
        <f t="shared" si="0"/>
        <v>5.3551425000000004</v>
      </c>
      <c r="J27" s="11">
        <f t="shared" si="1"/>
        <v>2.2821716532401809E-2</v>
      </c>
      <c r="K27" s="11">
        <f t="shared" si="2"/>
        <v>9.3524357630721706E-3</v>
      </c>
      <c r="L27" s="11">
        <f t="shared" si="3"/>
        <v>7.1428154205910857E-3</v>
      </c>
      <c r="M27" s="11">
        <f t="shared" si="4"/>
        <v>1.3469280769329637E-2</v>
      </c>
      <c r="N27" s="52">
        <f t="shared" si="5"/>
        <v>2340864</v>
      </c>
      <c r="O27" s="11">
        <v>16</v>
      </c>
      <c r="P27" s="12">
        <v>24875407</v>
      </c>
      <c r="Q27" s="12">
        <v>777356.46875</v>
      </c>
      <c r="R27" s="12">
        <v>18687.4375</v>
      </c>
      <c r="S27" s="13">
        <v>5712152</v>
      </c>
      <c r="T27" s="13">
        <v>1787808</v>
      </c>
      <c r="U27" s="13">
        <v>553056</v>
      </c>
      <c r="V27" s="13">
        <v>3371288</v>
      </c>
      <c r="W27" s="14">
        <v>69.301755999999997</v>
      </c>
      <c r="X27" s="14">
        <v>71.690518999999995</v>
      </c>
      <c r="Y27" s="14">
        <v>30.205874999999999</v>
      </c>
      <c r="Z27" s="14">
        <v>34.909818999999999</v>
      </c>
      <c r="AA27" s="14">
        <v>34.350633999999999</v>
      </c>
      <c r="AB27" s="15">
        <v>1811.11</v>
      </c>
      <c r="AC27" s="15">
        <v>5598.79</v>
      </c>
      <c r="AD27" s="15">
        <v>70.149000000000001</v>
      </c>
      <c r="AE27" s="15">
        <v>23.367999999999999</v>
      </c>
      <c r="AG27" s="10">
        <f t="shared" si="6"/>
        <v>5.3363399999999999</v>
      </c>
      <c r="AH27" s="11">
        <f t="shared" si="7"/>
        <v>2.2741586951330814E-2</v>
      </c>
      <c r="AI27" s="11">
        <f t="shared" si="8"/>
        <v>9.2896617314712788E-3</v>
      </c>
      <c r="AJ27" s="11">
        <f t="shared" si="9"/>
        <v>7.1398109608301471E-3</v>
      </c>
      <c r="AK27" s="11">
        <f t="shared" si="10"/>
        <v>1.3451413822453417E-2</v>
      </c>
      <c r="AL27" s="52">
        <f t="shared" si="11"/>
        <v>2325152</v>
      </c>
      <c r="AM27" s="11">
        <v>16</v>
      </c>
      <c r="AN27" s="12">
        <v>24857847</v>
      </c>
      <c r="AO27" s="12">
        <v>776807.71875</v>
      </c>
      <c r="AP27" s="12">
        <v>18658.46875</v>
      </c>
      <c r="AQ27" s="13">
        <v>5692096</v>
      </c>
      <c r="AR27" s="13">
        <v>1787056</v>
      </c>
      <c r="AS27" s="13">
        <v>538096</v>
      </c>
      <c r="AT27" s="13">
        <v>3366816</v>
      </c>
      <c r="AU27" s="14">
        <v>69.296149999999997</v>
      </c>
      <c r="AV27" s="14">
        <v>71.689296999999996</v>
      </c>
      <c r="AW27" s="14">
        <v>30.202109</v>
      </c>
      <c r="AX27" s="14">
        <v>34.929958999999997</v>
      </c>
      <c r="AY27" s="14">
        <v>34.360869000000001</v>
      </c>
      <c r="AZ27" s="15">
        <v>1894.11</v>
      </c>
      <c r="BA27" s="15">
        <v>5745.82</v>
      </c>
      <c r="BB27" s="15">
        <v>75.283000000000001</v>
      </c>
      <c r="BC27" s="15">
        <v>25.97</v>
      </c>
      <c r="BE27" s="50">
        <f t="shared" si="12"/>
        <v>0.99328794838145229</v>
      </c>
      <c r="BF27" s="16">
        <f t="shared" si="13"/>
        <v>-2.0309980552461748E-5</v>
      </c>
      <c r="BG27" s="16">
        <f t="shared" si="14"/>
        <v>-1.3163809158714401E-3</v>
      </c>
      <c r="BH27" s="16"/>
      <c r="BJ27" s="50"/>
      <c r="BK27" s="50"/>
      <c r="BL27" s="50"/>
      <c r="BM27" s="50"/>
      <c r="BN27" s="50"/>
      <c r="BP27" s="50"/>
      <c r="BQ27" s="50"/>
      <c r="BR27" s="50"/>
      <c r="BS27" s="50"/>
      <c r="BT27" s="50"/>
      <c r="BV27" s="58">
        <f t="shared" si="16"/>
        <v>-17560</v>
      </c>
      <c r="BW27" s="58">
        <f t="shared" si="16"/>
        <v>-548.75</v>
      </c>
      <c r="BX27" s="58">
        <f t="shared" si="16"/>
        <v>-28.96875</v>
      </c>
      <c r="BY27" s="58">
        <f t="shared" si="16"/>
        <v>-20056</v>
      </c>
      <c r="BZ27" s="58">
        <f t="shared" si="16"/>
        <v>-752</v>
      </c>
      <c r="CA27" s="58">
        <f t="shared" si="16"/>
        <v>-14960</v>
      </c>
      <c r="CB27" s="58">
        <f t="shared" si="16"/>
        <v>-4472</v>
      </c>
      <c r="CC27" s="58">
        <f t="shared" si="16"/>
        <v>-5.6060000000002219E-3</v>
      </c>
      <c r="CD27" s="58">
        <f t="shared" si="16"/>
        <v>-1.2219999999985021E-3</v>
      </c>
      <c r="CE27" s="58">
        <f t="shared" si="16"/>
        <v>-3.7659999999988258E-3</v>
      </c>
      <c r="CF27" s="58">
        <f t="shared" si="16"/>
        <v>2.0139999999997826E-2</v>
      </c>
      <c r="CG27" s="58">
        <f t="shared" si="16"/>
        <v>1.0235000000001548E-2</v>
      </c>
      <c r="CJ27" t="s">
        <v>579</v>
      </c>
    </row>
    <row r="28" spans="1:88" outlineLevel="1">
      <c r="A28" s="17"/>
      <c r="B28" s="17" t="s">
        <v>73</v>
      </c>
      <c r="C28" s="18" t="s">
        <v>236</v>
      </c>
      <c r="D28" s="17">
        <v>250294582</v>
      </c>
      <c r="E28" s="18">
        <v>10</v>
      </c>
      <c r="F28" s="18">
        <v>32</v>
      </c>
      <c r="G28" s="18">
        <v>30</v>
      </c>
      <c r="I28" s="19">
        <f t="shared" si="0"/>
        <v>10.3389975</v>
      </c>
      <c r="J28" s="20">
        <f t="shared" si="1"/>
        <v>4.4061137527938977E-2</v>
      </c>
      <c r="K28" s="20">
        <f t="shared" si="2"/>
        <v>1.318660585309833E-2</v>
      </c>
      <c r="L28" s="20">
        <f t="shared" si="3"/>
        <v>1.0976985510617245E-2</v>
      </c>
      <c r="M28" s="20">
        <f t="shared" si="4"/>
        <v>3.0874531674840649E-2</v>
      </c>
      <c r="N28" s="17">
        <f t="shared" si="5"/>
        <v>3300536</v>
      </c>
      <c r="O28" s="20">
        <v>16</v>
      </c>
      <c r="P28" s="21">
        <v>25558634</v>
      </c>
      <c r="Q28" s="21">
        <v>798707.3125</v>
      </c>
      <c r="R28" s="21">
        <v>21108.9375</v>
      </c>
      <c r="S28" s="22">
        <v>11028264</v>
      </c>
      <c r="T28" s="22">
        <v>2747480</v>
      </c>
      <c r="U28" s="22">
        <v>553056</v>
      </c>
      <c r="V28" s="22">
        <v>7727728</v>
      </c>
      <c r="W28" s="23">
        <v>70.462115999999995</v>
      </c>
      <c r="X28" s="23">
        <v>72.993594000000002</v>
      </c>
      <c r="Y28" s="23">
        <v>32.704628</v>
      </c>
      <c r="Z28" s="23">
        <v>36.413840999999998</v>
      </c>
      <c r="AA28" s="23">
        <v>35.864955999999999</v>
      </c>
      <c r="AB28" s="24">
        <v>1631.93</v>
      </c>
      <c r="AC28" s="24">
        <v>4853.5200000000004</v>
      </c>
      <c r="AD28" s="24">
        <v>62.817</v>
      </c>
      <c r="AE28" s="24">
        <v>18.484000000000002</v>
      </c>
      <c r="AG28" s="19">
        <f t="shared" si="6"/>
        <v>10.290495</v>
      </c>
      <c r="AH28" s="20">
        <f t="shared" si="7"/>
        <v>4.3854437088853962E-2</v>
      </c>
      <c r="AI28" s="20">
        <f t="shared" si="8"/>
        <v>1.3047569683310204E-2</v>
      </c>
      <c r="AJ28" s="20">
        <f t="shared" si="9"/>
        <v>1.0897718912669073E-2</v>
      </c>
      <c r="AK28" s="20">
        <f t="shared" si="10"/>
        <v>3.0806356008137643E-2</v>
      </c>
      <c r="AL28" s="17">
        <f t="shared" si="11"/>
        <v>3265736</v>
      </c>
      <c r="AM28" s="20">
        <v>16</v>
      </c>
      <c r="AN28" s="21">
        <v>25537404</v>
      </c>
      <c r="AO28" s="21">
        <v>798043.875</v>
      </c>
      <c r="AP28" s="21">
        <v>21046.3125</v>
      </c>
      <c r="AQ28" s="22">
        <v>10976528</v>
      </c>
      <c r="AR28" s="22">
        <v>2727640</v>
      </c>
      <c r="AS28" s="22">
        <v>538096</v>
      </c>
      <c r="AT28" s="22">
        <v>7710664</v>
      </c>
      <c r="AU28" s="23">
        <v>70.432888000000005</v>
      </c>
      <c r="AV28" s="23">
        <v>72.951318999999998</v>
      </c>
      <c r="AW28" s="23">
        <v>32.697330999999998</v>
      </c>
      <c r="AX28" s="23">
        <v>36.426065999999999</v>
      </c>
      <c r="AY28" s="23">
        <v>35.863</v>
      </c>
      <c r="AZ28" s="24">
        <v>2078.8200000000002</v>
      </c>
      <c r="BA28" s="24">
        <v>6285.18</v>
      </c>
      <c r="BB28" s="24">
        <v>101.026</v>
      </c>
      <c r="BC28" s="24">
        <v>28.05</v>
      </c>
      <c r="BE28" s="49">
        <f t="shared" si="12"/>
        <v>0.98945625801384984</v>
      </c>
      <c r="BF28" s="25">
        <f t="shared" si="13"/>
        <v>-5.6502020978083795E-5</v>
      </c>
      <c r="BG28" s="25">
        <f t="shared" si="14"/>
        <v>-1.7597972045074739E-3</v>
      </c>
      <c r="BH28" s="25"/>
      <c r="BJ28" s="49"/>
      <c r="BK28" s="49"/>
      <c r="BL28" s="49"/>
      <c r="BM28" s="49"/>
      <c r="BN28" s="49"/>
      <c r="BP28" s="49"/>
      <c r="BQ28" s="49"/>
      <c r="BR28" s="49"/>
      <c r="BS28" s="49"/>
      <c r="BT28" s="49"/>
      <c r="BV28" s="58">
        <f t="shared" si="16"/>
        <v>-21230</v>
      </c>
      <c r="BW28" s="58">
        <f t="shared" si="16"/>
        <v>-663.4375</v>
      </c>
      <c r="BX28" s="58">
        <f t="shared" si="16"/>
        <v>-62.625</v>
      </c>
      <c r="BY28" s="58">
        <f t="shared" si="16"/>
        <v>-51736</v>
      </c>
      <c r="BZ28" s="58">
        <f t="shared" si="16"/>
        <v>-19840</v>
      </c>
      <c r="CA28" s="58">
        <f t="shared" si="16"/>
        <v>-14960</v>
      </c>
      <c r="CB28" s="58">
        <f t="shared" si="16"/>
        <v>-17064</v>
      </c>
      <c r="CC28" s="58">
        <f t="shared" si="16"/>
        <v>-2.9227999999989152E-2</v>
      </c>
      <c r="CD28" s="58">
        <f t="shared" si="16"/>
        <v>-4.2275000000003615E-2</v>
      </c>
      <c r="CE28" s="58">
        <f t="shared" si="16"/>
        <v>-7.2970000000012192E-3</v>
      </c>
      <c r="CF28" s="58">
        <f t="shared" si="16"/>
        <v>1.2225000000000819E-2</v>
      </c>
      <c r="CG28" s="58">
        <f t="shared" si="16"/>
        <v>-1.9559999999998468E-3</v>
      </c>
      <c r="CJ28" t="s">
        <v>579</v>
      </c>
    </row>
    <row r="29" spans="1:88" ht="16" outlineLevel="1" thickBot="1">
      <c r="A29" s="26"/>
      <c r="B29" s="26" t="s">
        <v>73</v>
      </c>
      <c r="C29" s="27" t="s">
        <v>237</v>
      </c>
      <c r="D29" s="26">
        <v>250294582</v>
      </c>
      <c r="E29" s="27">
        <v>10</v>
      </c>
      <c r="F29" s="27">
        <v>32</v>
      </c>
      <c r="G29" s="27">
        <v>30</v>
      </c>
      <c r="I29" s="28">
        <f t="shared" si="0"/>
        <v>23.8660575</v>
      </c>
      <c r="J29" s="29">
        <f t="shared" si="1"/>
        <v>0.10170866583120844</v>
      </c>
      <c r="K29" s="29">
        <f t="shared" si="2"/>
        <v>2.1642817661950031E-2</v>
      </c>
      <c r="L29" s="29">
        <f t="shared" si="3"/>
        <v>1.7231247938079619E-2</v>
      </c>
      <c r="M29" s="29">
        <f t="shared" si="4"/>
        <v>8.0065848169258408E-2</v>
      </c>
      <c r="N29" s="26">
        <f t="shared" si="5"/>
        <v>5417080</v>
      </c>
      <c r="O29" s="29">
        <v>16</v>
      </c>
      <c r="P29" s="30">
        <v>24591050</v>
      </c>
      <c r="Q29" s="30">
        <v>768470.3125</v>
      </c>
      <c r="R29" s="30">
        <v>9839.84375</v>
      </c>
      <c r="S29" s="31">
        <v>25457128</v>
      </c>
      <c r="T29" s="31">
        <v>4312888</v>
      </c>
      <c r="U29" s="31">
        <v>1104192</v>
      </c>
      <c r="V29" s="31">
        <v>20040048</v>
      </c>
      <c r="W29" s="32">
        <v>71.138030999999998</v>
      </c>
      <c r="X29" s="32">
        <v>74.865933999999996</v>
      </c>
      <c r="Y29" s="32">
        <v>35.755878000000003</v>
      </c>
      <c r="Z29" s="32">
        <v>38.367171999999997</v>
      </c>
      <c r="AA29" s="32">
        <v>37.762050000000002</v>
      </c>
      <c r="AB29" s="33">
        <v>1811.35</v>
      </c>
      <c r="AC29" s="33">
        <v>6975.87</v>
      </c>
      <c r="AD29" s="33">
        <v>69.799000000000007</v>
      </c>
      <c r="AE29" s="33">
        <v>29.370999999999999</v>
      </c>
      <c r="AG29" s="28">
        <f t="shared" si="6"/>
        <v>23.846152499999999</v>
      </c>
      <c r="AH29" s="29">
        <f t="shared" si="7"/>
        <v>0.10162383778646875</v>
      </c>
      <c r="AI29" s="29">
        <f t="shared" si="8"/>
        <v>2.1600819149972653E-2</v>
      </c>
      <c r="AJ29" s="29">
        <f t="shared" si="9"/>
        <v>1.7254836143436775E-2</v>
      </c>
      <c r="AK29" s="29">
        <f t="shared" si="10"/>
        <v>8.0022507239089977E-2</v>
      </c>
      <c r="AL29" s="26">
        <f t="shared" si="11"/>
        <v>5406568</v>
      </c>
      <c r="AM29" s="29">
        <v>16</v>
      </c>
      <c r="AN29" s="30">
        <v>24583774</v>
      </c>
      <c r="AO29" s="30">
        <v>768242.9375</v>
      </c>
      <c r="AP29" s="30">
        <v>9806.65625</v>
      </c>
      <c r="AQ29" s="31">
        <v>25435896</v>
      </c>
      <c r="AR29" s="31">
        <v>4318792</v>
      </c>
      <c r="AS29" s="31">
        <v>1087776</v>
      </c>
      <c r="AT29" s="31">
        <v>20029200</v>
      </c>
      <c r="AU29" s="32">
        <v>71.135999999999996</v>
      </c>
      <c r="AV29" s="32">
        <v>74.866600000000005</v>
      </c>
      <c r="AW29" s="32">
        <v>35.75535</v>
      </c>
      <c r="AX29" s="32">
        <v>38.381422000000001</v>
      </c>
      <c r="AY29" s="32">
        <v>37.767671999999997</v>
      </c>
      <c r="AZ29" s="33">
        <v>1822.33</v>
      </c>
      <c r="BA29" s="33">
        <v>6929.7</v>
      </c>
      <c r="BB29" s="33">
        <v>71.174000000000007</v>
      </c>
      <c r="BC29" s="33">
        <v>28.797999999999998</v>
      </c>
      <c r="BE29" s="34">
        <f t="shared" si="12"/>
        <v>0.99805947115420113</v>
      </c>
      <c r="BF29" s="35">
        <f t="shared" si="13"/>
        <v>-3.9409522044363265E-5</v>
      </c>
      <c r="BG29" s="35">
        <f t="shared" si="14"/>
        <v>-2.3565100946573714E-4</v>
      </c>
      <c r="BH29" s="35"/>
      <c r="BJ29" s="34"/>
      <c r="BK29" s="34"/>
      <c r="BL29" s="34"/>
      <c r="BM29" s="34"/>
      <c r="BN29" s="34"/>
      <c r="BP29" s="34"/>
      <c r="BQ29" s="34"/>
      <c r="BR29" s="34"/>
      <c r="BS29" s="34"/>
      <c r="BT29" s="34"/>
      <c r="BV29" s="58">
        <f t="shared" si="16"/>
        <v>-7276</v>
      </c>
      <c r="BW29" s="58">
        <f t="shared" si="16"/>
        <v>-227.375</v>
      </c>
      <c r="BX29" s="58">
        <f t="shared" si="16"/>
        <v>-33.1875</v>
      </c>
      <c r="BY29" s="58">
        <f t="shared" si="16"/>
        <v>-21232</v>
      </c>
      <c r="BZ29" s="58">
        <f t="shared" si="16"/>
        <v>5904</v>
      </c>
      <c r="CA29" s="58">
        <f t="shared" si="16"/>
        <v>-16416</v>
      </c>
      <c r="CB29" s="58">
        <f t="shared" si="16"/>
        <v>-10848</v>
      </c>
      <c r="CC29" s="58">
        <f t="shared" si="16"/>
        <v>-2.0310000000023365E-3</v>
      </c>
      <c r="CD29" s="58">
        <f t="shared" si="16"/>
        <v>6.6600000000960335E-4</v>
      </c>
      <c r="CE29" s="58">
        <f t="shared" si="16"/>
        <v>-5.2800000000274849E-4</v>
      </c>
      <c r="CF29" s="58">
        <f t="shared" si="16"/>
        <v>1.4250000000004093E-2</v>
      </c>
      <c r="CG29" s="58">
        <f t="shared" si="16"/>
        <v>5.6219999999953529E-3</v>
      </c>
      <c r="CJ29" t="s">
        <v>579</v>
      </c>
    </row>
    <row r="30" spans="1:88">
      <c r="A30" s="17" t="s">
        <v>242</v>
      </c>
      <c r="B30" s="17" t="s">
        <v>77</v>
      </c>
      <c r="C30" s="18" t="s">
        <v>232</v>
      </c>
      <c r="D30" s="17">
        <v>375422539</v>
      </c>
      <c r="E30" s="18">
        <v>11</v>
      </c>
      <c r="F30" s="18">
        <v>32</v>
      </c>
      <c r="G30" s="18">
        <v>30</v>
      </c>
      <c r="I30" s="19">
        <f t="shared" si="0"/>
        <v>3.7191225000000001</v>
      </c>
      <c r="J30" s="20">
        <f t="shared" si="1"/>
        <v>1.0566930825642303E-2</v>
      </c>
      <c r="K30" s="20">
        <f t="shared" si="2"/>
        <v>8.3820433594158812E-3</v>
      </c>
      <c r="L30" s="20">
        <f t="shared" si="3"/>
        <v>5.2756768554058494E-3</v>
      </c>
      <c r="M30" s="20">
        <f t="shared" si="4"/>
        <v>2.1848874662264216E-3</v>
      </c>
      <c r="N30" s="17">
        <f t="shared" si="5"/>
        <v>3146808</v>
      </c>
      <c r="O30" s="20">
        <v>16</v>
      </c>
      <c r="P30" s="21">
        <v>86243398</v>
      </c>
      <c r="Q30" s="21">
        <v>2695106.1875</v>
      </c>
      <c r="R30" s="21">
        <v>33846.0625</v>
      </c>
      <c r="S30" s="22">
        <v>3967064</v>
      </c>
      <c r="T30" s="22">
        <v>1980608</v>
      </c>
      <c r="U30" s="22">
        <v>1166200</v>
      </c>
      <c r="V30" s="22">
        <v>820256</v>
      </c>
      <c r="W30" s="23">
        <v>73.637074999999996</v>
      </c>
      <c r="X30" s="23">
        <v>75.742599999999996</v>
      </c>
      <c r="Y30" s="23">
        <v>33.230944000000001</v>
      </c>
      <c r="Z30" s="23">
        <v>41.929219000000003</v>
      </c>
      <c r="AA30" s="23">
        <v>43.316119</v>
      </c>
      <c r="AB30" s="24">
        <v>4169.28</v>
      </c>
      <c r="AC30" s="24">
        <v>17780.8</v>
      </c>
      <c r="AD30" s="24">
        <v>242.79</v>
      </c>
      <c r="AE30" s="24">
        <v>79.113</v>
      </c>
      <c r="AG30" s="19">
        <f t="shared" si="6"/>
        <v>3.6894149999999999</v>
      </c>
      <c r="AH30" s="20">
        <f t="shared" si="7"/>
        <v>1.0482524598769494E-2</v>
      </c>
      <c r="AI30" s="20">
        <f t="shared" si="8"/>
        <v>8.297360111349095E-3</v>
      </c>
      <c r="AJ30" s="20">
        <f t="shared" si="9"/>
        <v>5.2618684143521813E-3</v>
      </c>
      <c r="AK30" s="20">
        <f t="shared" si="10"/>
        <v>2.1848235382585807E-3</v>
      </c>
      <c r="AL30" s="17">
        <f t="shared" si="11"/>
        <v>3115016</v>
      </c>
      <c r="AM30" s="20">
        <v>16</v>
      </c>
      <c r="AN30" s="21">
        <v>86208632</v>
      </c>
      <c r="AO30" s="21">
        <v>2694019.75</v>
      </c>
      <c r="AP30" s="21">
        <v>33860.09375</v>
      </c>
      <c r="AQ30" s="22">
        <v>3935376</v>
      </c>
      <c r="AR30" s="22">
        <v>1975424</v>
      </c>
      <c r="AS30" s="22">
        <v>1139592</v>
      </c>
      <c r="AT30" s="22">
        <v>820232</v>
      </c>
      <c r="AU30" s="23">
        <v>73.637628000000007</v>
      </c>
      <c r="AV30" s="23">
        <v>75.747080999999994</v>
      </c>
      <c r="AW30" s="23">
        <v>33.240774999999999</v>
      </c>
      <c r="AX30" s="23">
        <v>41.9146</v>
      </c>
      <c r="AY30" s="23">
        <v>43.267381</v>
      </c>
      <c r="AZ30" s="24">
        <v>3686.14</v>
      </c>
      <c r="BA30" s="24">
        <v>16577.400000000001</v>
      </c>
      <c r="BB30" s="24">
        <v>230.77500000000001</v>
      </c>
      <c r="BC30" s="24">
        <v>74.962999999999994</v>
      </c>
      <c r="BE30" s="49">
        <f t="shared" si="12"/>
        <v>0.98989706394543309</v>
      </c>
      <c r="BF30" s="25">
        <f t="shared" si="13"/>
        <v>1.0272791276511734E-5</v>
      </c>
      <c r="BG30" s="25">
        <f t="shared" si="14"/>
        <v>-1.6913294543648982E-3</v>
      </c>
      <c r="BH30" s="25">
        <f t="array" ref="BH30">AVERAGE(AL30:AL34/AQ30:AQ34) - AVERAGE(N30:N34/S30:S34)</f>
        <v>-1.1778065249272718E-3</v>
      </c>
      <c r="BJ30" s="49">
        <f>IF( OR(ISBLANK(N30:N34),ISBLANK(AL30:AL34), ISBLANK(W30:W34),ISBLANK(AU30:AU34)), "·", bdRateExtend( N30:N34,W30:W34, AL30:AL34,AU30:AU34))</f>
        <v>-6.1313672054675861E-3</v>
      </c>
      <c r="BK30" s="49">
        <f>IF( OR(ISBLANK(N30:N34),ISBLANK(AL30:AL34), ISBLANK(X30:X34),ISBLANK(AV30:AV34)), "·", bdRateExtend( N30:N34,X30:X34, AL30:AL34,AV30:AV34))</f>
        <v>-6.0079352932905783E-3</v>
      </c>
      <c r="BL30" s="49">
        <f>IF( OR(ISBLANK(V30:V34),ISBLANK(AT30:AT34), ISBLANK(Y30:Y34),ISBLANK(AW30:AW34)), "·", bdRateExtend( V30:V34,Y30:Y34, AT30:AT34,AW30:AW34))</f>
        <v>2.1976796313172287E-4</v>
      </c>
      <c r="BM30" s="49">
        <f>IF( OR(ISBLANK(V30:V34),ISBLANK(AT30:AT34), ISBLANK(Z30:Z34),ISBLANK(AX30:AX34)), "·", bdRateExtend( V30:V34,Z30:Z34, AT30:AT34,AX30:AX34))</f>
        <v>-8.3799504188792895E-3</v>
      </c>
      <c r="BN30" s="49">
        <f>IF( OR(ISBLANK(V30:V34),ISBLANK(AT30:AT34), ISBLANK(AA30:AA34),ISBLANK(AY30:AY34)), "·", bdRateExtend( V30:V34,AA30:AA34, AT30:AT34,AY30:AY34))</f>
        <v>2.6510822330153339E-2</v>
      </c>
      <c r="BP30" s="49">
        <f>IF( OR(ISBLANK(S30:S34),ISBLANK(AQ30:AQ34), ISBLANK(W30:W34),ISBLANK(AU30:AU34)), "·", bdRateExtend( S30:S34,W30:W34, AQ30:AQ34,AU30:AU34))</f>
        <v>-4.3818602681846563E-3</v>
      </c>
      <c r="BQ30" s="49">
        <f>IF( OR(ISBLANK(S30:S34),ISBLANK(AQ30:AQ34), ISBLANK(X30:X34),ISBLANK(AV30:AV34)), "·", bdRateExtend( S30:S34,X30:X34, AQ30:AQ34,AV30:AV34))</f>
        <v>-4.3007611992320616E-3</v>
      </c>
      <c r="BR30" s="49">
        <f>IF( OR(ISBLANK(S30:S34),ISBLANK(AQ30:AQ34), ISBLANK(Y30:Y34),ISBLANK(AW30:AW34)), "·", bdRateExtend( S30:S34,Y30:Y34, AQ30:AQ34,AW30:AW34))</f>
        <v>-3.6215598389663928E-3</v>
      </c>
      <c r="BS30" s="49">
        <f>IF( OR(ISBLANK(S30:S34),ISBLANK(AQ30:AQ34), ISBLANK(Z30:Z34),ISBLANK(AX30:AX34)), "·", bdRateExtend( S30:S34,Z30:Z34, AQ30:AQ34,AX30:AX34))</f>
        <v>-9.4256259340592674E-3</v>
      </c>
      <c r="BT30" s="49">
        <f>IF( OR(ISBLANK(S30:S34),ISBLANK(AQ30:AQ34), ISBLANK(AA30:AA34),ISBLANK(AY30:AY34)), "·", bdRateExtend( S30:S34,AA30:AA34, AQ30:AQ34,AY30:AY34))</f>
        <v>8.6678176774199756E-3</v>
      </c>
      <c r="BV30" s="58">
        <f t="shared" si="16"/>
        <v>-34766</v>
      </c>
      <c r="BW30" s="58">
        <f t="shared" si="16"/>
        <v>-1086.4375</v>
      </c>
      <c r="BX30" s="58">
        <f t="shared" si="16"/>
        <v>14.03125</v>
      </c>
      <c r="BY30" s="58">
        <f t="shared" si="16"/>
        <v>-31688</v>
      </c>
      <c r="BZ30" s="58">
        <f t="shared" si="16"/>
        <v>-5184</v>
      </c>
      <c r="CA30" s="58">
        <f t="shared" si="16"/>
        <v>-26608</v>
      </c>
      <c r="CB30" s="58">
        <f t="shared" si="16"/>
        <v>-24</v>
      </c>
      <c r="CC30" s="58">
        <f t="shared" si="16"/>
        <v>5.5300000001068383E-4</v>
      </c>
      <c r="CD30" s="58">
        <f t="shared" si="16"/>
        <v>4.4809999999984029E-3</v>
      </c>
      <c r="CE30" s="58">
        <f t="shared" si="16"/>
        <v>9.8309999999983688E-3</v>
      </c>
      <c r="CF30" s="58">
        <f t="shared" si="16"/>
        <v>-1.4619000000003268E-2</v>
      </c>
      <c r="CG30" s="58">
        <f t="shared" si="16"/>
        <v>-4.873800000000017E-2</v>
      </c>
      <c r="CJ30" t="s">
        <v>588</v>
      </c>
    </row>
    <row r="31" spans="1:88" outlineLevel="1">
      <c r="A31" s="52"/>
      <c r="B31" s="52" t="s">
        <v>77</v>
      </c>
      <c r="C31" s="9" t="s">
        <v>234</v>
      </c>
      <c r="D31" s="52">
        <v>375422539</v>
      </c>
      <c r="E31" s="9">
        <v>11</v>
      </c>
      <c r="F31" s="9">
        <v>32</v>
      </c>
      <c r="G31" s="9">
        <v>30</v>
      </c>
      <c r="I31" s="10">
        <f t="shared" si="0"/>
        <v>4.9565625000000004</v>
      </c>
      <c r="J31" s="11">
        <f t="shared" si="1"/>
        <v>1.4082798582319533E-2</v>
      </c>
      <c r="K31" s="11">
        <f t="shared" si="2"/>
        <v>1.0321894924907532E-2</v>
      </c>
      <c r="L31" s="11">
        <f t="shared" si="3"/>
        <v>7.2155284208974997E-3</v>
      </c>
      <c r="M31" s="11">
        <f t="shared" si="4"/>
        <v>3.7609036574120019E-3</v>
      </c>
      <c r="N31" s="52">
        <f t="shared" si="5"/>
        <v>3875072</v>
      </c>
      <c r="O31" s="11">
        <v>16</v>
      </c>
      <c r="P31" s="12">
        <v>90541792</v>
      </c>
      <c r="Q31" s="12">
        <v>2829431</v>
      </c>
      <c r="R31" s="12">
        <v>41460.6875</v>
      </c>
      <c r="S31" s="13">
        <v>5287000</v>
      </c>
      <c r="T31" s="13">
        <v>2708872</v>
      </c>
      <c r="U31" s="13">
        <v>1166200</v>
      </c>
      <c r="V31" s="13">
        <v>1411928</v>
      </c>
      <c r="W31" s="14">
        <v>75.252650000000003</v>
      </c>
      <c r="X31" s="14">
        <v>77.584663000000006</v>
      </c>
      <c r="Y31" s="14">
        <v>35.168300000000002</v>
      </c>
      <c r="Z31" s="14">
        <v>42.577666000000001</v>
      </c>
      <c r="AA31" s="14">
        <v>44.702897</v>
      </c>
      <c r="AB31" s="15">
        <v>4444.84</v>
      </c>
      <c r="AC31" s="15">
        <v>23155.200000000001</v>
      </c>
      <c r="AD31" s="15">
        <v>274.03800000000001</v>
      </c>
      <c r="AE31" s="15">
        <v>104.39</v>
      </c>
      <c r="AG31" s="10">
        <f t="shared" si="6"/>
        <v>4.9329599999999996</v>
      </c>
      <c r="AH31" s="11">
        <f t="shared" si="7"/>
        <v>1.4015738144054265E-2</v>
      </c>
      <c r="AI31" s="11">
        <f t="shared" si="8"/>
        <v>1.0248058122051111E-2</v>
      </c>
      <c r="AJ31" s="11">
        <f t="shared" si="9"/>
        <v>7.2125664250541977E-3</v>
      </c>
      <c r="AK31" s="11">
        <f t="shared" si="10"/>
        <v>3.7673390728413352E-3</v>
      </c>
      <c r="AL31" s="52">
        <f t="shared" si="11"/>
        <v>3847352</v>
      </c>
      <c r="AM31" s="11">
        <v>16</v>
      </c>
      <c r="AN31" s="12">
        <v>90551726</v>
      </c>
      <c r="AO31" s="12">
        <v>2829741.4375</v>
      </c>
      <c r="AP31" s="12">
        <v>41417.5</v>
      </c>
      <c r="AQ31" s="13">
        <v>5261824</v>
      </c>
      <c r="AR31" s="13">
        <v>2707760</v>
      </c>
      <c r="AS31" s="13">
        <v>1139592</v>
      </c>
      <c r="AT31" s="13">
        <v>1414344</v>
      </c>
      <c r="AU31" s="14">
        <v>75.248311999999999</v>
      </c>
      <c r="AV31" s="14">
        <v>77.578466000000006</v>
      </c>
      <c r="AW31" s="14">
        <v>35.169468999999999</v>
      </c>
      <c r="AX31" s="14">
        <v>42.574233999999997</v>
      </c>
      <c r="AY31" s="14">
        <v>44.326247000000002</v>
      </c>
      <c r="AZ31" s="15">
        <v>4459.49</v>
      </c>
      <c r="BA31" s="15">
        <v>22616.6</v>
      </c>
      <c r="BB31" s="15">
        <v>281.82400000000001</v>
      </c>
      <c r="BC31" s="15">
        <v>102.86</v>
      </c>
      <c r="BE31" s="50">
        <f t="shared" si="12"/>
        <v>0.9928465845279778</v>
      </c>
      <c r="BF31" s="16">
        <f t="shared" si="13"/>
        <v>-1.6869546319157533E-5</v>
      </c>
      <c r="BG31" s="16">
        <f t="shared" si="14"/>
        <v>-1.7612553743249215E-3</v>
      </c>
      <c r="BH31" s="16"/>
      <c r="BJ31" s="50"/>
      <c r="BK31" s="50"/>
      <c r="BL31" s="50"/>
      <c r="BM31" s="50"/>
      <c r="BN31" s="50"/>
      <c r="BP31" s="50"/>
      <c r="BQ31" s="50"/>
      <c r="BR31" s="50"/>
      <c r="BS31" s="50"/>
      <c r="BT31" s="50"/>
      <c r="BV31" s="58">
        <f t="shared" si="16"/>
        <v>9934</v>
      </c>
      <c r="BW31" s="58">
        <f t="shared" si="16"/>
        <v>310.4375</v>
      </c>
      <c r="BX31" s="58">
        <f t="shared" si="16"/>
        <v>-43.1875</v>
      </c>
      <c r="BY31" s="58">
        <f t="shared" si="16"/>
        <v>-25176</v>
      </c>
      <c r="BZ31" s="58">
        <f t="shared" si="16"/>
        <v>-1112</v>
      </c>
      <c r="CA31" s="58">
        <f t="shared" si="16"/>
        <v>-26608</v>
      </c>
      <c r="CB31" s="58">
        <f t="shared" si="16"/>
        <v>2416</v>
      </c>
      <c r="CC31" s="58">
        <f t="shared" si="16"/>
        <v>-4.3380000000041719E-3</v>
      </c>
      <c r="CD31" s="58">
        <f t="shared" si="16"/>
        <v>-6.1970000000002301E-3</v>
      </c>
      <c r="CE31" s="58">
        <f t="shared" si="16"/>
        <v>1.1689999999973111E-3</v>
      </c>
      <c r="CF31" s="58">
        <f t="shared" si="16"/>
        <v>-3.4320000000036543E-3</v>
      </c>
      <c r="CG31" s="58">
        <f t="shared" si="16"/>
        <v>-0.37664999999999793</v>
      </c>
      <c r="CJ31" t="s">
        <v>588</v>
      </c>
    </row>
    <row r="32" spans="1:88" outlineLevel="1">
      <c r="A32" s="17"/>
      <c r="B32" s="17" t="s">
        <v>77</v>
      </c>
      <c r="C32" s="18" t="s">
        <v>235</v>
      </c>
      <c r="D32" s="17">
        <v>375422539</v>
      </c>
      <c r="E32" s="18">
        <v>11</v>
      </c>
      <c r="F32" s="18">
        <v>32</v>
      </c>
      <c r="G32" s="18">
        <v>30</v>
      </c>
      <c r="I32" s="19">
        <f t="shared" si="0"/>
        <v>7.1605800000000004</v>
      </c>
      <c r="J32" s="20">
        <f t="shared" si="1"/>
        <v>2.0344947909480736E-2</v>
      </c>
      <c r="K32" s="20">
        <f t="shared" si="2"/>
        <v>1.3213229054422862E-2</v>
      </c>
      <c r="L32" s="20">
        <f t="shared" si="3"/>
        <v>1.0106862550412829E-2</v>
      </c>
      <c r="M32" s="20">
        <f t="shared" si="4"/>
        <v>7.1317188550578739E-3</v>
      </c>
      <c r="N32" s="17">
        <f t="shared" si="5"/>
        <v>4960544</v>
      </c>
      <c r="O32" s="20">
        <v>16</v>
      </c>
      <c r="P32" s="21">
        <v>91787366</v>
      </c>
      <c r="Q32" s="21">
        <v>2868355.1875</v>
      </c>
      <c r="R32" s="21">
        <v>44534.90625</v>
      </c>
      <c r="S32" s="22">
        <v>7637952</v>
      </c>
      <c r="T32" s="22">
        <v>3794344</v>
      </c>
      <c r="U32" s="22">
        <v>1166200</v>
      </c>
      <c r="V32" s="22">
        <v>2677408</v>
      </c>
      <c r="W32" s="23">
        <v>76.469399999999993</v>
      </c>
      <c r="X32" s="23">
        <v>79.114191000000005</v>
      </c>
      <c r="Y32" s="23">
        <v>36.951524999999997</v>
      </c>
      <c r="Z32" s="23">
        <v>43.104759000000001</v>
      </c>
      <c r="AA32" s="23">
        <v>45.735422</v>
      </c>
      <c r="AB32" s="24">
        <v>4380.97</v>
      </c>
      <c r="AC32" s="24">
        <v>23571.7</v>
      </c>
      <c r="AD32" s="24">
        <v>272.99400000000003</v>
      </c>
      <c r="AE32" s="24">
        <v>105.072</v>
      </c>
      <c r="AG32" s="19">
        <f t="shared" si="6"/>
        <v>7.1341950000000001</v>
      </c>
      <c r="AH32" s="20">
        <f t="shared" si="7"/>
        <v>2.0269981712525788E-2</v>
      </c>
      <c r="AI32" s="20">
        <f t="shared" si="8"/>
        <v>1.3144613035606795E-2</v>
      </c>
      <c r="AJ32" s="20">
        <f t="shared" si="9"/>
        <v>1.010912133860988E-2</v>
      </c>
      <c r="AK32" s="20">
        <f t="shared" si="10"/>
        <v>7.1250277277571765E-3</v>
      </c>
      <c r="AL32" s="17">
        <f t="shared" si="11"/>
        <v>4934784</v>
      </c>
      <c r="AM32" s="20">
        <v>16</v>
      </c>
      <c r="AN32" s="21">
        <v>91903209</v>
      </c>
      <c r="AO32" s="21">
        <v>2871975.28125</v>
      </c>
      <c r="AP32" s="21">
        <v>44404.375</v>
      </c>
      <c r="AQ32" s="22">
        <v>7609808</v>
      </c>
      <c r="AR32" s="22">
        <v>3795192</v>
      </c>
      <c r="AS32" s="22">
        <v>1139592</v>
      </c>
      <c r="AT32" s="22">
        <v>2674896</v>
      </c>
      <c r="AU32" s="23">
        <v>76.478624999999994</v>
      </c>
      <c r="AV32" s="23">
        <v>79.111328</v>
      </c>
      <c r="AW32" s="23">
        <v>36.956128</v>
      </c>
      <c r="AX32" s="23">
        <v>43.136812999999997</v>
      </c>
      <c r="AY32" s="23">
        <v>45.869697000000002</v>
      </c>
      <c r="AZ32" s="24">
        <v>3884.53</v>
      </c>
      <c r="BA32" s="24">
        <v>17653.5</v>
      </c>
      <c r="BB32" s="24">
        <v>248</v>
      </c>
      <c r="BC32" s="24">
        <v>77.138999999999996</v>
      </c>
      <c r="BE32" s="49">
        <f t="shared" si="12"/>
        <v>0.99480702116542064</v>
      </c>
      <c r="BF32" s="25">
        <f t="shared" si="13"/>
        <v>-6.5020707609128245E-5</v>
      </c>
      <c r="BG32" s="25">
        <f t="shared" si="14"/>
        <v>-9.8315212252941819E-4</v>
      </c>
      <c r="BH32" s="25"/>
      <c r="BJ32" s="49"/>
      <c r="BK32" s="49"/>
      <c r="BL32" s="49"/>
      <c r="BM32" s="49"/>
      <c r="BN32" s="49"/>
      <c r="BP32" s="49"/>
      <c r="BQ32" s="49"/>
      <c r="BR32" s="49"/>
      <c r="BS32" s="49"/>
      <c r="BT32" s="49"/>
      <c r="BV32" s="58">
        <f t="shared" si="16"/>
        <v>115843</v>
      </c>
      <c r="BW32" s="58">
        <f t="shared" si="16"/>
        <v>3620.09375</v>
      </c>
      <c r="BX32" s="58">
        <f t="shared" si="16"/>
        <v>-130.53125</v>
      </c>
      <c r="BY32" s="58">
        <f t="shared" si="16"/>
        <v>-28144</v>
      </c>
      <c r="BZ32" s="58">
        <f t="shared" si="16"/>
        <v>848</v>
      </c>
      <c r="CA32" s="58">
        <f t="shared" si="16"/>
        <v>-26608</v>
      </c>
      <c r="CB32" s="58">
        <f t="shared" si="16"/>
        <v>-2512</v>
      </c>
      <c r="CC32" s="58">
        <f t="shared" si="16"/>
        <v>9.2250000000007049E-3</v>
      </c>
      <c r="CD32" s="58">
        <f t="shared" si="16"/>
        <v>-2.8630000000049449E-3</v>
      </c>
      <c r="CE32" s="58">
        <f t="shared" si="16"/>
        <v>4.6030000000030213E-3</v>
      </c>
      <c r="CF32" s="58">
        <f t="shared" si="16"/>
        <v>3.2053999999995142E-2</v>
      </c>
      <c r="CG32" s="58">
        <f t="shared" si="16"/>
        <v>0.13427500000000236</v>
      </c>
      <c r="CJ32" t="s">
        <v>588</v>
      </c>
    </row>
    <row r="33" spans="1:88" outlineLevel="1">
      <c r="A33" s="52"/>
      <c r="B33" s="52" t="s">
        <v>77</v>
      </c>
      <c r="C33" s="9" t="s">
        <v>236</v>
      </c>
      <c r="D33" s="52">
        <v>375422539</v>
      </c>
      <c r="E33" s="9">
        <v>11</v>
      </c>
      <c r="F33" s="9">
        <v>32</v>
      </c>
      <c r="G33" s="9">
        <v>30</v>
      </c>
      <c r="I33" s="10">
        <f t="shared" si="0"/>
        <v>11.997142500000001</v>
      </c>
      <c r="J33" s="11">
        <f t="shared" si="1"/>
        <v>3.4086797329981301E-2</v>
      </c>
      <c r="K33" s="11">
        <f t="shared" si="2"/>
        <v>1.8543265991816223E-2</v>
      </c>
      <c r="L33" s="11">
        <f t="shared" si="3"/>
        <v>1.5436899487806192E-2</v>
      </c>
      <c r="M33" s="11">
        <f t="shared" si="4"/>
        <v>1.5543531338165075E-2</v>
      </c>
      <c r="N33" s="52">
        <f t="shared" si="5"/>
        <v>6961560</v>
      </c>
      <c r="O33" s="11">
        <v>16</v>
      </c>
      <c r="P33" s="12">
        <v>94114766</v>
      </c>
      <c r="Q33" s="12">
        <v>2941086.4375</v>
      </c>
      <c r="R33" s="12">
        <v>49715.25</v>
      </c>
      <c r="S33" s="13">
        <v>12796952</v>
      </c>
      <c r="T33" s="13">
        <v>5795360</v>
      </c>
      <c r="U33" s="13">
        <v>1166200</v>
      </c>
      <c r="V33" s="13">
        <v>5835392</v>
      </c>
      <c r="W33" s="14">
        <v>77.566353000000007</v>
      </c>
      <c r="X33" s="14">
        <v>80.266603000000003</v>
      </c>
      <c r="Y33" s="14">
        <v>38.717027999999999</v>
      </c>
      <c r="Z33" s="14">
        <v>43.694291</v>
      </c>
      <c r="AA33" s="14">
        <v>47.348472000000001</v>
      </c>
      <c r="AB33" s="15">
        <v>4336.6899999999996</v>
      </c>
      <c r="AC33" s="15">
        <v>20323</v>
      </c>
      <c r="AD33" s="15">
        <v>258.65499999999997</v>
      </c>
      <c r="AE33" s="15">
        <v>83.308999999999997</v>
      </c>
      <c r="AG33" s="10">
        <f t="shared" si="6"/>
        <v>11.978384999999999</v>
      </c>
      <c r="AH33" s="11">
        <f t="shared" si="7"/>
        <v>3.4033502714124468E-2</v>
      </c>
      <c r="AI33" s="11">
        <f t="shared" si="8"/>
        <v>1.8487115926729161E-2</v>
      </c>
      <c r="AJ33" s="11">
        <f t="shared" si="9"/>
        <v>1.5451624229732248E-2</v>
      </c>
      <c r="AK33" s="11">
        <f t="shared" si="10"/>
        <v>1.5546045838233489E-2</v>
      </c>
      <c r="AL33" s="52">
        <f t="shared" si="11"/>
        <v>6940480</v>
      </c>
      <c r="AM33" s="11">
        <v>16</v>
      </c>
      <c r="AN33" s="12">
        <v>94103501</v>
      </c>
      <c r="AO33" s="12">
        <v>2940734.40625</v>
      </c>
      <c r="AP33" s="12">
        <v>49779.25</v>
      </c>
      <c r="AQ33" s="13">
        <v>12776944</v>
      </c>
      <c r="AR33" s="13">
        <v>5800888</v>
      </c>
      <c r="AS33" s="13">
        <v>1139592</v>
      </c>
      <c r="AT33" s="13">
        <v>5836336</v>
      </c>
      <c r="AU33" s="14">
        <v>77.568094000000002</v>
      </c>
      <c r="AV33" s="14">
        <v>80.274565999999993</v>
      </c>
      <c r="AW33" s="14">
        <v>38.711587000000002</v>
      </c>
      <c r="AX33" s="14">
        <v>43.699750000000002</v>
      </c>
      <c r="AY33" s="14">
        <v>47.387563</v>
      </c>
      <c r="AZ33" s="15">
        <v>3675.7</v>
      </c>
      <c r="BA33" s="15">
        <v>18122.7</v>
      </c>
      <c r="BB33" s="15">
        <v>243.887</v>
      </c>
      <c r="BC33" s="15">
        <v>76.456999999999994</v>
      </c>
      <c r="BE33" s="50">
        <f t="shared" si="12"/>
        <v>0.9969719430702314</v>
      </c>
      <c r="BF33" s="16">
        <f t="shared" si="13"/>
        <v>2.3786789909396172E-5</v>
      </c>
      <c r="BG33" s="16">
        <f t="shared" si="14"/>
        <v>-7.9797013135041173E-4</v>
      </c>
      <c r="BH33" s="16"/>
      <c r="BJ33" s="50"/>
      <c r="BK33" s="50"/>
      <c r="BL33" s="50"/>
      <c r="BM33" s="50"/>
      <c r="BN33" s="50"/>
      <c r="BP33" s="50"/>
      <c r="BQ33" s="50"/>
      <c r="BR33" s="50"/>
      <c r="BS33" s="50"/>
      <c r="BT33" s="50"/>
      <c r="BV33" s="58">
        <f t="shared" si="16"/>
        <v>-11265</v>
      </c>
      <c r="BW33" s="58">
        <f t="shared" si="16"/>
        <v>-352.03125</v>
      </c>
      <c r="BX33" s="58">
        <f t="shared" si="16"/>
        <v>64</v>
      </c>
      <c r="BY33" s="58">
        <f t="shared" si="16"/>
        <v>-20008</v>
      </c>
      <c r="BZ33" s="58">
        <f t="shared" si="16"/>
        <v>5528</v>
      </c>
      <c r="CA33" s="58">
        <f t="shared" si="16"/>
        <v>-26608</v>
      </c>
      <c r="CB33" s="58">
        <f t="shared" si="16"/>
        <v>944</v>
      </c>
      <c r="CC33" s="58">
        <f t="shared" si="16"/>
        <v>1.7409999999955517E-3</v>
      </c>
      <c r="CD33" s="58">
        <f t="shared" si="16"/>
        <v>7.9629999999895063E-3</v>
      </c>
      <c r="CE33" s="58">
        <f t="shared" si="16"/>
        <v>-5.4409999999975867E-3</v>
      </c>
      <c r="CF33" s="58">
        <f t="shared" si="16"/>
        <v>5.459000000001879E-3</v>
      </c>
      <c r="CG33" s="58">
        <f t="shared" si="16"/>
        <v>3.9090999999999099E-2</v>
      </c>
      <c r="CJ33" t="s">
        <v>588</v>
      </c>
    </row>
    <row r="34" spans="1:88" ht="16" outlineLevel="1" thickBot="1">
      <c r="A34" s="17"/>
      <c r="B34" s="36" t="s">
        <v>77</v>
      </c>
      <c r="C34" s="37" t="s">
        <v>237</v>
      </c>
      <c r="D34" s="36">
        <v>375422539</v>
      </c>
      <c r="E34" s="37">
        <v>11</v>
      </c>
      <c r="F34" s="37">
        <v>32</v>
      </c>
      <c r="G34" s="37">
        <v>30</v>
      </c>
      <c r="I34" s="38">
        <f t="shared" si="0"/>
        <v>24.630690000000001</v>
      </c>
      <c r="J34" s="39">
        <f t="shared" si="1"/>
        <v>6.9981775921024281E-2</v>
      </c>
      <c r="K34" s="39">
        <f t="shared" si="2"/>
        <v>3.0977404902160124E-2</v>
      </c>
      <c r="L34" s="39">
        <f t="shared" si="3"/>
        <v>2.459758549552615E-2</v>
      </c>
      <c r="M34" s="39">
        <f t="shared" si="4"/>
        <v>3.9004371018864163E-2</v>
      </c>
      <c r="N34" s="36">
        <f t="shared" si="5"/>
        <v>11629616</v>
      </c>
      <c r="O34" s="39">
        <v>16</v>
      </c>
      <c r="P34" s="40">
        <v>92205535</v>
      </c>
      <c r="Q34" s="40">
        <v>2881422.96875</v>
      </c>
      <c r="R34" s="40">
        <v>21180.46875</v>
      </c>
      <c r="S34" s="41">
        <v>26272736</v>
      </c>
      <c r="T34" s="41">
        <v>9234488</v>
      </c>
      <c r="U34" s="41">
        <v>2395128</v>
      </c>
      <c r="V34" s="41">
        <v>14643120</v>
      </c>
      <c r="W34" s="42">
        <v>78.500297000000003</v>
      </c>
      <c r="X34" s="42">
        <v>81.895680999999996</v>
      </c>
      <c r="Y34" s="42">
        <v>40.507772000000003</v>
      </c>
      <c r="Z34" s="42">
        <v>44.376384000000002</v>
      </c>
      <c r="AA34" s="42">
        <v>48.811852999999999</v>
      </c>
      <c r="AB34" s="43">
        <v>4487.8999999999996</v>
      </c>
      <c r="AC34" s="43">
        <v>27290.400000000001</v>
      </c>
      <c r="AD34" s="43">
        <v>280.37</v>
      </c>
      <c r="AE34" s="43">
        <v>122.88800000000001</v>
      </c>
      <c r="AG34" s="38">
        <f t="shared" si="6"/>
        <v>24.568672500000002</v>
      </c>
      <c r="AH34" s="39">
        <f t="shared" si="7"/>
        <v>6.9805569132331713E-2</v>
      </c>
      <c r="AI34" s="39">
        <f t="shared" si="8"/>
        <v>3.0853661665742452E-2</v>
      </c>
      <c r="AJ34" s="39">
        <f t="shared" si="9"/>
        <v>2.4558653363110944E-2</v>
      </c>
      <c r="AK34" s="39">
        <f t="shared" si="10"/>
        <v>3.8951566517427448E-2</v>
      </c>
      <c r="AL34" s="36">
        <f t="shared" si="11"/>
        <v>11583160</v>
      </c>
      <c r="AM34" s="39">
        <v>16</v>
      </c>
      <c r="AN34" s="40">
        <v>92183912</v>
      </c>
      <c r="AO34" s="40">
        <v>2880747.25</v>
      </c>
      <c r="AP34" s="40">
        <v>21195.28125</v>
      </c>
      <c r="AQ34" s="41">
        <v>26206584</v>
      </c>
      <c r="AR34" s="41">
        <v>9219872</v>
      </c>
      <c r="AS34" s="41">
        <v>2363288</v>
      </c>
      <c r="AT34" s="41">
        <v>14623296</v>
      </c>
      <c r="AU34" s="42">
        <v>78.495762999999997</v>
      </c>
      <c r="AV34" s="42">
        <v>81.894593999999998</v>
      </c>
      <c r="AW34" s="42">
        <v>40.507658999999997</v>
      </c>
      <c r="AX34" s="42">
        <v>44.379049999999999</v>
      </c>
      <c r="AY34" s="42">
        <v>48.801881000000002</v>
      </c>
      <c r="AZ34" s="43">
        <v>3578.56</v>
      </c>
      <c r="BA34" s="43">
        <v>20041.099999999999</v>
      </c>
      <c r="BB34" s="43">
        <v>241.16800000000001</v>
      </c>
      <c r="BC34" s="43">
        <v>84.233000000000004</v>
      </c>
      <c r="BE34" s="44">
        <f t="shared" si="12"/>
        <v>0.9960053711145751</v>
      </c>
      <c r="BF34" s="45">
        <f t="shared" si="13"/>
        <v>6.8661018971707261E-6</v>
      </c>
      <c r="BG34" s="45">
        <f t="shared" si="14"/>
        <v>-6.5532554206682025E-4</v>
      </c>
      <c r="BH34" s="45"/>
      <c r="BJ34" s="44"/>
      <c r="BK34" s="44"/>
      <c r="BL34" s="44"/>
      <c r="BM34" s="44"/>
      <c r="BN34" s="44"/>
      <c r="BP34" s="44"/>
      <c r="BQ34" s="44"/>
      <c r="BR34" s="44"/>
      <c r="BS34" s="44"/>
      <c r="BT34" s="44"/>
      <c r="BV34" s="58">
        <f t="shared" si="16"/>
        <v>-21623</v>
      </c>
      <c r="BW34" s="58">
        <f t="shared" si="16"/>
        <v>-675.71875</v>
      </c>
      <c r="BX34" s="58">
        <f t="shared" si="16"/>
        <v>14.8125</v>
      </c>
      <c r="BY34" s="58">
        <f t="shared" si="16"/>
        <v>-66152</v>
      </c>
      <c r="BZ34" s="58">
        <f t="shared" si="16"/>
        <v>-14616</v>
      </c>
      <c r="CA34" s="58">
        <f t="shared" si="16"/>
        <v>-31840</v>
      </c>
      <c r="CB34" s="58">
        <f t="shared" si="16"/>
        <v>-19824</v>
      </c>
      <c r="CC34" s="58">
        <f t="shared" si="16"/>
        <v>-4.5340000000066993E-3</v>
      </c>
      <c r="CD34" s="58">
        <f t="shared" si="16"/>
        <v>-1.0869999999982838E-3</v>
      </c>
      <c r="CE34" s="58">
        <f t="shared" si="16"/>
        <v>-1.1300000000602495E-4</v>
      </c>
      <c r="CF34" s="58">
        <f t="shared" si="16"/>
        <v>2.6659999999978368E-3</v>
      </c>
      <c r="CG34" s="58">
        <f t="shared" si="16"/>
        <v>-9.9719999999976494E-3</v>
      </c>
      <c r="CJ34" t="s">
        <v>588</v>
      </c>
    </row>
    <row r="35" spans="1:88">
      <c r="A35" s="52"/>
      <c r="B35" s="52" t="s">
        <v>82</v>
      </c>
      <c r="C35" s="9" t="s">
        <v>232</v>
      </c>
      <c r="D35" s="52">
        <v>333190689</v>
      </c>
      <c r="E35" s="9">
        <v>11</v>
      </c>
      <c r="F35" s="9">
        <v>32</v>
      </c>
      <c r="G35" s="9">
        <v>30</v>
      </c>
      <c r="I35" s="10">
        <f t="shared" si="0"/>
        <v>4.6538174999999997</v>
      </c>
      <c r="J35" s="11">
        <f t="shared" si="1"/>
        <v>1.4898591598998734E-2</v>
      </c>
      <c r="K35" s="11">
        <f t="shared" si="2"/>
        <v>1.1175390318305084E-2</v>
      </c>
      <c r="L35" s="11">
        <f t="shared" si="3"/>
        <v>7.155662143968255E-3</v>
      </c>
      <c r="M35" s="11">
        <f t="shared" si="4"/>
        <v>3.7232012806936512E-3</v>
      </c>
      <c r="N35" s="52">
        <f t="shared" si="5"/>
        <v>3723536</v>
      </c>
      <c r="O35" s="11">
        <v>16</v>
      </c>
      <c r="P35" s="12">
        <v>74793925</v>
      </c>
      <c r="Q35" s="12">
        <v>2337310.15625</v>
      </c>
      <c r="R35" s="12">
        <v>30824.78125</v>
      </c>
      <c r="S35" s="13">
        <v>4964072</v>
      </c>
      <c r="T35" s="13">
        <v>2384200</v>
      </c>
      <c r="U35" s="13">
        <v>1339336</v>
      </c>
      <c r="V35" s="13">
        <v>1240536</v>
      </c>
      <c r="W35" s="14">
        <v>73.186065999999997</v>
      </c>
      <c r="X35" s="14">
        <v>75.395090999999994</v>
      </c>
      <c r="Y35" s="14">
        <v>31.779947</v>
      </c>
      <c r="Z35" s="14">
        <v>42.169849999999997</v>
      </c>
      <c r="AA35" s="14">
        <v>43.305712</v>
      </c>
      <c r="AB35" s="15">
        <v>3769.29</v>
      </c>
      <c r="AC35" s="15">
        <v>19235.7</v>
      </c>
      <c r="AD35" s="15">
        <v>206.47499999999999</v>
      </c>
      <c r="AE35" s="15">
        <v>83.474999999999994</v>
      </c>
      <c r="AG35" s="10">
        <f t="shared" si="6"/>
        <v>4.6299975</v>
      </c>
      <c r="AH35" s="11">
        <f t="shared" si="7"/>
        <v>1.482233496626912E-2</v>
      </c>
      <c r="AI35" s="11">
        <f t="shared" si="8"/>
        <v>1.1091810551764848E-2</v>
      </c>
      <c r="AJ35" s="11">
        <f t="shared" si="9"/>
        <v>7.1632013702519759E-3</v>
      </c>
      <c r="AK35" s="11">
        <f t="shared" si="10"/>
        <v>3.7301402501076493E-3</v>
      </c>
      <c r="AL35" s="52">
        <f t="shared" si="11"/>
        <v>3695688</v>
      </c>
      <c r="AM35" s="11">
        <v>16</v>
      </c>
      <c r="AN35" s="12">
        <v>74822030</v>
      </c>
      <c r="AO35" s="12">
        <v>2338188.4375</v>
      </c>
      <c r="AP35" s="12">
        <v>30865.1875</v>
      </c>
      <c r="AQ35" s="13">
        <v>4938664</v>
      </c>
      <c r="AR35" s="13">
        <v>2386712</v>
      </c>
      <c r="AS35" s="13">
        <v>1308976</v>
      </c>
      <c r="AT35" s="13">
        <v>1242848</v>
      </c>
      <c r="AU35" s="14">
        <v>73.189402999999999</v>
      </c>
      <c r="AV35" s="14">
        <v>75.400436999999997</v>
      </c>
      <c r="AW35" s="14">
        <v>31.794559</v>
      </c>
      <c r="AX35" s="14">
        <v>42.186303000000002</v>
      </c>
      <c r="AY35" s="14">
        <v>43.261147000000001</v>
      </c>
      <c r="AZ35" s="15">
        <v>3366.91</v>
      </c>
      <c r="BA35" s="15">
        <v>18743.8</v>
      </c>
      <c r="BB35" s="15">
        <v>211.99700000000001</v>
      </c>
      <c r="BC35" s="15">
        <v>80.89</v>
      </c>
      <c r="BE35" s="50">
        <f t="shared" si="12"/>
        <v>0.99252108748243595</v>
      </c>
      <c r="BF35" s="16">
        <f t="shared" si="13"/>
        <v>1.2327214763890176E-5</v>
      </c>
      <c r="BG35" s="16">
        <f t="shared" si="14"/>
        <v>-1.7797390025935389E-3</v>
      </c>
      <c r="BH35" s="16">
        <f t="array" ref="BH35">AVERAGE(AL35:AL39/AQ35:AQ39) - AVERAGE(N35:N39/S35:S39)</f>
        <v>-1.115430773424686E-3</v>
      </c>
      <c r="BJ35" s="50">
        <f>IF( OR(ISBLANK(N35:N39),ISBLANK(AL35:AL39), ISBLANK(W35:W39),ISBLANK(AU35:AU39)), "·", bdRateExtend( N35:N39,W35:W39, AL35:AL39,AU35:AU39))</f>
        <v>-5.2818986291696124E-3</v>
      </c>
      <c r="BK35" s="50">
        <f>IF( OR(ISBLANK(N35:N39),ISBLANK(AL35:AL39), ISBLANK(X35:X39),ISBLANK(AV35:AV39)), "·", bdRateExtend( N35:N39,X35:X39, AL35:AL39,AV35:AV39))</f>
        <v>-5.4106600257877169E-3</v>
      </c>
      <c r="BL35" s="50">
        <f>IF( OR(ISBLANK(V35:V39),ISBLANK(AT35:AT39), ISBLANK(Y35:Y39),ISBLANK(AW35:AW39)), "·", bdRateExtend( V35:V39,Y35:Y39, AT35:AT39,AW35:AW39))</f>
        <v>-8.2438322120725882E-4</v>
      </c>
      <c r="BM35" s="50">
        <f>IF( OR(ISBLANK(V35:V39),ISBLANK(AT35:AT39), ISBLANK(Z35:Z39),ISBLANK(AX35:AX39)), "·", bdRateExtend( V35:V39,Z35:Z39, AT35:AT39,AX35:AX39))</f>
        <v>-5.5230352308205388E-3</v>
      </c>
      <c r="BN35" s="50">
        <f>IF( OR(ISBLANK(V35:V39),ISBLANK(AT35:AT39), ISBLANK(AA35:AA39),ISBLANK(AY35:AY39)), "·", bdRateExtend( V35:V39,AA35:AA39, AT35:AT39,AY35:AY39))</f>
        <v>-1.4636136073281625E-2</v>
      </c>
      <c r="BP35" s="50">
        <f>IF( OR(ISBLANK(S35:S39),ISBLANK(AQ35:AQ39), ISBLANK(W35:W39),ISBLANK(AU35:AU39)), "·", bdRateExtend( S35:S39,W35:W39, AQ35:AQ39,AU35:AU39))</f>
        <v>-3.5208444577503606E-3</v>
      </c>
      <c r="BQ35" s="50">
        <f>IF( OR(ISBLANK(S35:S39),ISBLANK(AQ35:AQ39), ISBLANK(X35:X39),ISBLANK(AV35:AV39)), "·", bdRateExtend( S35:S39,X35:X39, AQ35:AQ39,AV35:AV39))</f>
        <v>-3.8652247169405074E-3</v>
      </c>
      <c r="BR35" s="50">
        <f>IF( OR(ISBLANK(S35:S39),ISBLANK(AQ35:AQ39), ISBLANK(Y35:Y39),ISBLANK(AW35:AW39)), "·", bdRateExtend( S35:S39,Y35:Y39, AQ35:AQ39,AW35:AW39))</f>
        <v>-3.5049124637491769E-3</v>
      </c>
      <c r="BS35" s="50">
        <f>IF( OR(ISBLANK(S35:S39),ISBLANK(AQ35:AQ39), ISBLANK(Z35:Z39),ISBLANK(AX35:AX39)), "·", bdRateExtend( S35:S39,Z35:Z39, AQ35:AQ39,AX35:AX39))</f>
        <v>-6.4362872756457135E-3</v>
      </c>
      <c r="BT35" s="50">
        <f>IF( OR(ISBLANK(S35:S39),ISBLANK(AQ35:AQ39), ISBLANK(AA35:AA39),ISBLANK(AY35:AY39)), "·", bdRateExtend( S35:S39,AA35:AA39, AQ35:AQ39,AY35:AY39))</f>
        <v>-1.2562773580746867E-2</v>
      </c>
      <c r="BV35" s="58">
        <f t="shared" si="16"/>
        <v>28105</v>
      </c>
      <c r="BW35" s="58">
        <f t="shared" si="16"/>
        <v>878.28125</v>
      </c>
      <c r="BX35" s="58">
        <f t="shared" si="16"/>
        <v>40.40625</v>
      </c>
      <c r="BY35" s="58">
        <f t="shared" si="16"/>
        <v>-25408</v>
      </c>
      <c r="BZ35" s="58">
        <f t="shared" si="16"/>
        <v>2512</v>
      </c>
      <c r="CA35" s="58">
        <f t="shared" si="16"/>
        <v>-30360</v>
      </c>
      <c r="CB35" s="58">
        <f t="shared" si="16"/>
        <v>2312</v>
      </c>
      <c r="CC35" s="58">
        <f t="shared" si="16"/>
        <v>3.3370000000019218E-3</v>
      </c>
      <c r="CD35" s="58">
        <f t="shared" si="16"/>
        <v>5.3460000000029595E-3</v>
      </c>
      <c r="CE35" s="58">
        <f t="shared" si="16"/>
        <v>1.4611999999999625E-2</v>
      </c>
      <c r="CF35" s="58">
        <f t="shared" si="16"/>
        <v>1.6453000000005602E-2</v>
      </c>
      <c r="CG35" s="58">
        <f t="shared" si="16"/>
        <v>-4.4564999999998633E-2</v>
      </c>
      <c r="CJ35" t="s">
        <v>589</v>
      </c>
    </row>
    <row r="36" spans="1:88" outlineLevel="1">
      <c r="A36" s="17"/>
      <c r="B36" s="17" t="s">
        <v>82</v>
      </c>
      <c r="C36" s="18" t="s">
        <v>234</v>
      </c>
      <c r="D36" s="17">
        <v>333190689</v>
      </c>
      <c r="E36" s="18">
        <v>11</v>
      </c>
      <c r="F36" s="18">
        <v>32</v>
      </c>
      <c r="G36" s="18">
        <v>30</v>
      </c>
      <c r="I36" s="19">
        <f t="shared" si="0"/>
        <v>6.2390774999999996</v>
      </c>
      <c r="J36" s="20">
        <f t="shared" si="1"/>
        <v>1.9973595360583442E-2</v>
      </c>
      <c r="K36" s="20">
        <f t="shared" si="2"/>
        <v>1.3755462416298193E-2</v>
      </c>
      <c r="L36" s="20">
        <f t="shared" si="3"/>
        <v>9.7357342419613652E-3</v>
      </c>
      <c r="M36" s="20">
        <f t="shared" si="4"/>
        <v>6.2181329442852467E-3</v>
      </c>
      <c r="N36" s="17">
        <f t="shared" si="5"/>
        <v>4583192</v>
      </c>
      <c r="O36" s="20">
        <v>16</v>
      </c>
      <c r="P36" s="21">
        <v>79976742</v>
      </c>
      <c r="Q36" s="21">
        <v>2499273.1875</v>
      </c>
      <c r="R36" s="21">
        <v>39105.5</v>
      </c>
      <c r="S36" s="22">
        <v>6655016</v>
      </c>
      <c r="T36" s="22">
        <v>3243856</v>
      </c>
      <c r="U36" s="22">
        <v>1339336</v>
      </c>
      <c r="V36" s="22">
        <v>2071824</v>
      </c>
      <c r="W36" s="23">
        <v>74.938500000000005</v>
      </c>
      <c r="X36" s="23">
        <v>77.355886999999996</v>
      </c>
      <c r="Y36" s="23">
        <v>34.034599999999998</v>
      </c>
      <c r="Z36" s="23">
        <v>42.972333999999996</v>
      </c>
      <c r="AA36" s="23">
        <v>44.820352999999997</v>
      </c>
      <c r="AB36" s="24">
        <v>3295.68</v>
      </c>
      <c r="AC36" s="24">
        <v>20083.599999999999</v>
      </c>
      <c r="AD36" s="24">
        <v>216.45500000000001</v>
      </c>
      <c r="AE36" s="24">
        <v>79.415999999999997</v>
      </c>
      <c r="AG36" s="19">
        <f t="shared" si="6"/>
        <v>6.2093699999999998</v>
      </c>
      <c r="AH36" s="20">
        <f t="shared" si="7"/>
        <v>1.9878490662144522E-2</v>
      </c>
      <c r="AI36" s="20">
        <f t="shared" si="8"/>
        <v>1.3670706146293302E-2</v>
      </c>
      <c r="AJ36" s="20">
        <f t="shared" si="9"/>
        <v>9.7420969647804296E-3</v>
      </c>
      <c r="AK36" s="20">
        <f t="shared" si="10"/>
        <v>6.207400351454599E-3</v>
      </c>
      <c r="AL36" s="17">
        <f t="shared" si="11"/>
        <v>4554952</v>
      </c>
      <c r="AM36" s="20">
        <v>16</v>
      </c>
      <c r="AN36" s="21">
        <v>79982341</v>
      </c>
      <c r="AO36" s="21">
        <v>2499448.15625</v>
      </c>
      <c r="AP36" s="21">
        <v>39131.96875</v>
      </c>
      <c r="AQ36" s="22">
        <v>6623328</v>
      </c>
      <c r="AR36" s="22">
        <v>3245976</v>
      </c>
      <c r="AS36" s="22">
        <v>1308976</v>
      </c>
      <c r="AT36" s="22">
        <v>2068248</v>
      </c>
      <c r="AU36" s="23">
        <v>74.940140999999997</v>
      </c>
      <c r="AV36" s="23">
        <v>77.357630999999998</v>
      </c>
      <c r="AW36" s="23">
        <v>34.036034000000001</v>
      </c>
      <c r="AX36" s="23">
        <v>42.972608999999999</v>
      </c>
      <c r="AY36" s="23">
        <v>44.867455999999997</v>
      </c>
      <c r="AZ36" s="24">
        <v>3452.77</v>
      </c>
      <c r="BA36" s="24">
        <v>20085.3</v>
      </c>
      <c r="BB36" s="24">
        <v>218.13900000000001</v>
      </c>
      <c r="BC36" s="24">
        <v>81.38</v>
      </c>
      <c r="BE36" s="49">
        <f t="shared" si="12"/>
        <v>0.99383835545183363</v>
      </c>
      <c r="BF36" s="25">
        <f t="shared" si="13"/>
        <v>9.4945189576638167E-6</v>
      </c>
      <c r="BG36" s="25">
        <f t="shared" si="14"/>
        <v>-9.6885341782360079E-4</v>
      </c>
      <c r="BH36" s="25"/>
      <c r="BJ36" s="49"/>
      <c r="BK36" s="49"/>
      <c r="BL36" s="49"/>
      <c r="BM36" s="49"/>
      <c r="BN36" s="49"/>
      <c r="BP36" s="49"/>
      <c r="BQ36" s="49"/>
      <c r="BR36" s="49"/>
      <c r="BS36" s="49"/>
      <c r="BT36" s="49"/>
      <c r="BV36" s="58">
        <f t="shared" si="16"/>
        <v>5599</v>
      </c>
      <c r="BW36" s="58">
        <f t="shared" si="16"/>
        <v>174.96875</v>
      </c>
      <c r="BX36" s="58">
        <f t="shared" si="16"/>
        <v>26.46875</v>
      </c>
      <c r="BY36" s="58">
        <f t="shared" si="16"/>
        <v>-31688</v>
      </c>
      <c r="BZ36" s="58">
        <f t="shared" si="16"/>
        <v>2120</v>
      </c>
      <c r="CA36" s="58">
        <f t="shared" si="16"/>
        <v>-30360</v>
      </c>
      <c r="CB36" s="58">
        <f t="shared" si="16"/>
        <v>-3576</v>
      </c>
      <c r="CC36" s="58">
        <f t="shared" si="16"/>
        <v>1.640999999992232E-3</v>
      </c>
      <c r="CD36" s="58">
        <f t="shared" si="16"/>
        <v>1.7440000000021882E-3</v>
      </c>
      <c r="CE36" s="58">
        <f t="shared" si="16"/>
        <v>1.434000000003266E-3</v>
      </c>
      <c r="CF36" s="58">
        <f t="shared" si="16"/>
        <v>2.7500000000202363E-4</v>
      </c>
      <c r="CG36" s="58">
        <f t="shared" si="16"/>
        <v>4.7102999999999895E-2</v>
      </c>
      <c r="CJ36" t="s">
        <v>589</v>
      </c>
    </row>
    <row r="37" spans="1:88" outlineLevel="1">
      <c r="A37" s="52"/>
      <c r="B37" s="52" t="s">
        <v>82</v>
      </c>
      <c r="C37" s="9" t="s">
        <v>235</v>
      </c>
      <c r="D37" s="52">
        <v>333190689</v>
      </c>
      <c r="E37" s="9">
        <v>11</v>
      </c>
      <c r="F37" s="9">
        <v>32</v>
      </c>
      <c r="G37" s="9">
        <v>30</v>
      </c>
      <c r="I37" s="10">
        <f t="shared" si="0"/>
        <v>8.9012700000000002</v>
      </c>
      <c r="J37" s="11">
        <f t="shared" si="1"/>
        <v>2.8496258489384137E-2</v>
      </c>
      <c r="K37" s="11">
        <f t="shared" si="2"/>
        <v>1.7446345867125956E-2</v>
      </c>
      <c r="L37" s="11">
        <f t="shared" si="3"/>
        <v>1.3426617692789128E-2</v>
      </c>
      <c r="M37" s="11">
        <f t="shared" si="4"/>
        <v>1.1049912622258181E-2</v>
      </c>
      <c r="N37" s="52">
        <f t="shared" si="5"/>
        <v>5812960</v>
      </c>
      <c r="O37" s="11">
        <v>16</v>
      </c>
      <c r="P37" s="12">
        <v>81787481</v>
      </c>
      <c r="Q37" s="12">
        <v>2555858.78125</v>
      </c>
      <c r="R37" s="12">
        <v>42911.78125</v>
      </c>
      <c r="S37" s="13">
        <v>9494688</v>
      </c>
      <c r="T37" s="13">
        <v>4473624</v>
      </c>
      <c r="U37" s="13">
        <v>1339336</v>
      </c>
      <c r="V37" s="13">
        <v>3681728</v>
      </c>
      <c r="W37" s="14">
        <v>76.246069000000006</v>
      </c>
      <c r="X37" s="14">
        <v>78.937634000000003</v>
      </c>
      <c r="Y37" s="14">
        <v>36.127488</v>
      </c>
      <c r="Z37" s="14">
        <v>43.536346999999999</v>
      </c>
      <c r="AA37" s="14">
        <v>46.109228000000002</v>
      </c>
      <c r="AB37" s="15">
        <v>3257.52</v>
      </c>
      <c r="AC37" s="15">
        <v>21025.8</v>
      </c>
      <c r="AD37" s="15">
        <v>213.167</v>
      </c>
      <c r="AE37" s="15">
        <v>81.680000000000007</v>
      </c>
      <c r="AG37" s="10">
        <f t="shared" si="6"/>
        <v>8.8770524999999996</v>
      </c>
      <c r="AH37" s="11">
        <f t="shared" si="7"/>
        <v>2.8418729312090711E-2</v>
      </c>
      <c r="AI37" s="11">
        <f t="shared" si="8"/>
        <v>1.7359092528543018E-2</v>
      </c>
      <c r="AJ37" s="11">
        <f t="shared" si="9"/>
        <v>1.3430483347030144E-2</v>
      </c>
      <c r="AK37" s="11">
        <f t="shared" si="10"/>
        <v>1.1059252619151071E-2</v>
      </c>
      <c r="AL37" s="52">
        <f t="shared" si="11"/>
        <v>5783888</v>
      </c>
      <c r="AM37" s="11">
        <v>16</v>
      </c>
      <c r="AN37" s="12">
        <v>81772890</v>
      </c>
      <c r="AO37" s="12">
        <v>2555402.8125</v>
      </c>
      <c r="AP37" s="12">
        <v>42956.3125</v>
      </c>
      <c r="AQ37" s="13">
        <v>9468856</v>
      </c>
      <c r="AR37" s="13">
        <v>4474912</v>
      </c>
      <c r="AS37" s="13">
        <v>1308976</v>
      </c>
      <c r="AT37" s="13">
        <v>3684840</v>
      </c>
      <c r="AU37" s="14">
        <v>76.245766000000003</v>
      </c>
      <c r="AV37" s="14">
        <v>78.941312999999994</v>
      </c>
      <c r="AW37" s="14">
        <v>36.135458999999997</v>
      </c>
      <c r="AX37" s="14">
        <v>43.557594000000002</v>
      </c>
      <c r="AY37" s="14">
        <v>46.185415999999996</v>
      </c>
      <c r="AZ37" s="15">
        <v>3560.34</v>
      </c>
      <c r="BA37" s="15">
        <v>21852.799999999999</v>
      </c>
      <c r="BB37" s="15">
        <v>242.596</v>
      </c>
      <c r="BC37" s="15">
        <v>86.617000000000004</v>
      </c>
      <c r="BE37" s="50">
        <f t="shared" si="12"/>
        <v>0.99499876138834609</v>
      </c>
      <c r="BF37" s="16">
        <f t="shared" si="13"/>
        <v>2.0422131106815483E-5</v>
      </c>
      <c r="BG37" s="16">
        <f t="shared" si="14"/>
        <v>-1.4000424898934494E-3</v>
      </c>
      <c r="BH37" s="16"/>
      <c r="BJ37" s="50"/>
      <c r="BK37" s="50"/>
      <c r="BL37" s="50"/>
      <c r="BM37" s="50"/>
      <c r="BN37" s="50"/>
      <c r="BP37" s="50"/>
      <c r="BQ37" s="50"/>
      <c r="BR37" s="50"/>
      <c r="BS37" s="50"/>
      <c r="BT37" s="50"/>
      <c r="BV37" s="58">
        <f t="shared" si="16"/>
        <v>-14591</v>
      </c>
      <c r="BW37" s="58">
        <f t="shared" si="16"/>
        <v>-455.96875</v>
      </c>
      <c r="BX37" s="58">
        <f t="shared" si="16"/>
        <v>44.53125</v>
      </c>
      <c r="BY37" s="58">
        <f t="shared" si="16"/>
        <v>-25832</v>
      </c>
      <c r="BZ37" s="58">
        <f t="shared" si="16"/>
        <v>1288</v>
      </c>
      <c r="CA37" s="58">
        <f t="shared" si="16"/>
        <v>-30360</v>
      </c>
      <c r="CB37" s="58">
        <f t="shared" si="16"/>
        <v>3112</v>
      </c>
      <c r="CC37" s="58">
        <f t="shared" si="16"/>
        <v>-3.030000000023847E-4</v>
      </c>
      <c r="CD37" s="58">
        <f t="shared" si="16"/>
        <v>3.6789999999911061E-3</v>
      </c>
      <c r="CE37" s="58">
        <f t="shared" si="16"/>
        <v>7.9709999999977299E-3</v>
      </c>
      <c r="CF37" s="58">
        <f t="shared" si="16"/>
        <v>2.1247000000002458E-2</v>
      </c>
      <c r="CG37" s="58">
        <f t="shared" si="16"/>
        <v>7.6187999999994815E-2</v>
      </c>
      <c r="CJ37" t="s">
        <v>589</v>
      </c>
    </row>
    <row r="38" spans="1:88" outlineLevel="1">
      <c r="A38" s="17"/>
      <c r="B38" s="17" t="s">
        <v>82</v>
      </c>
      <c r="C38" s="18" t="s">
        <v>236</v>
      </c>
      <c r="D38" s="17">
        <v>333190689</v>
      </c>
      <c r="E38" s="18">
        <v>11</v>
      </c>
      <c r="F38" s="18">
        <v>32</v>
      </c>
      <c r="G38" s="18">
        <v>30</v>
      </c>
      <c r="I38" s="19">
        <f t="shared" si="0"/>
        <v>14.406495</v>
      </c>
      <c r="J38" s="20">
        <f t="shared" si="1"/>
        <v>4.6120520492696E-2</v>
      </c>
      <c r="K38" s="20">
        <f t="shared" si="2"/>
        <v>2.3715596686436816E-2</v>
      </c>
      <c r="L38" s="20">
        <f t="shared" si="3"/>
        <v>1.9695868512099989E-2</v>
      </c>
      <c r="M38" s="20">
        <f t="shared" si="4"/>
        <v>2.2404923806259185E-2</v>
      </c>
      <c r="N38" s="17">
        <f t="shared" si="5"/>
        <v>7901816</v>
      </c>
      <c r="O38" s="20">
        <v>16</v>
      </c>
      <c r="P38" s="21">
        <v>83859347</v>
      </c>
      <c r="Q38" s="21">
        <v>2620604.59375</v>
      </c>
      <c r="R38" s="21">
        <v>48103.65625</v>
      </c>
      <c r="S38" s="22">
        <v>15366928</v>
      </c>
      <c r="T38" s="22">
        <v>6562480</v>
      </c>
      <c r="U38" s="22">
        <v>1339336</v>
      </c>
      <c r="V38" s="22">
        <v>7465112</v>
      </c>
      <c r="W38" s="23">
        <v>77.415709000000007</v>
      </c>
      <c r="X38" s="23">
        <v>80.131399999999999</v>
      </c>
      <c r="Y38" s="23">
        <v>38.083593999999998</v>
      </c>
      <c r="Z38" s="23">
        <v>44.197806</v>
      </c>
      <c r="AA38" s="23">
        <v>47.240555999999998</v>
      </c>
      <c r="AB38" s="24">
        <v>4048.21</v>
      </c>
      <c r="AC38" s="24">
        <v>29308.799999999999</v>
      </c>
      <c r="AD38" s="24">
        <v>256.78199999999998</v>
      </c>
      <c r="AE38" s="24">
        <v>110.514</v>
      </c>
      <c r="AG38" s="19">
        <f t="shared" si="6"/>
        <v>14.373945000000001</v>
      </c>
      <c r="AH38" s="20">
        <f t="shared" si="7"/>
        <v>4.6016315900112084E-2</v>
      </c>
      <c r="AI38" s="20">
        <f t="shared" si="8"/>
        <v>2.3628463399227823E-2</v>
      </c>
      <c r="AJ38" s="20">
        <f t="shared" si="9"/>
        <v>1.969983020744016E-2</v>
      </c>
      <c r="AK38" s="20">
        <f t="shared" si="10"/>
        <v>2.2387468336487637E-2</v>
      </c>
      <c r="AL38" s="17">
        <f t="shared" si="11"/>
        <v>7872784</v>
      </c>
      <c r="AM38" s="20">
        <v>16</v>
      </c>
      <c r="AN38" s="21">
        <v>83874304</v>
      </c>
      <c r="AO38" s="21">
        <v>2621072</v>
      </c>
      <c r="AP38" s="21">
        <v>48113.28125</v>
      </c>
      <c r="AQ38" s="22">
        <v>15332208</v>
      </c>
      <c r="AR38" s="22">
        <v>6563800</v>
      </c>
      <c r="AS38" s="22">
        <v>1308984</v>
      </c>
      <c r="AT38" s="22">
        <v>7459296</v>
      </c>
      <c r="AU38" s="23">
        <v>77.415141000000006</v>
      </c>
      <c r="AV38" s="23">
        <v>80.131313000000006</v>
      </c>
      <c r="AW38" s="23">
        <v>38.080516000000003</v>
      </c>
      <c r="AX38" s="23">
        <v>44.200116000000001</v>
      </c>
      <c r="AY38" s="23">
        <v>47.251834000000002</v>
      </c>
      <c r="AZ38" s="24">
        <v>3310.48</v>
      </c>
      <c r="BA38" s="24">
        <v>21802.7</v>
      </c>
      <c r="BB38" s="24">
        <v>233.21</v>
      </c>
      <c r="BC38" s="24">
        <v>85.352999999999994</v>
      </c>
      <c r="BE38" s="49">
        <f t="shared" si="12"/>
        <v>0.99632590786725495</v>
      </c>
      <c r="BF38" s="25">
        <f t="shared" si="13"/>
        <v>3.9881381002845884E-7</v>
      </c>
      <c r="BG38" s="25">
        <f t="shared" si="14"/>
        <v>-7.2909629315576208E-4</v>
      </c>
      <c r="BH38" s="25"/>
      <c r="BJ38" s="49"/>
      <c r="BK38" s="49"/>
      <c r="BL38" s="49"/>
      <c r="BM38" s="49"/>
      <c r="BN38" s="49"/>
      <c r="BP38" s="49"/>
      <c r="BQ38" s="49"/>
      <c r="BR38" s="49"/>
      <c r="BS38" s="49"/>
      <c r="BT38" s="49"/>
      <c r="BV38" s="58">
        <f t="shared" si="16"/>
        <v>14957</v>
      </c>
      <c r="BW38" s="58">
        <f t="shared" si="16"/>
        <v>467.40625</v>
      </c>
      <c r="BX38" s="58">
        <f t="shared" si="16"/>
        <v>9.625</v>
      </c>
      <c r="BY38" s="58">
        <f t="shared" si="16"/>
        <v>-34720</v>
      </c>
      <c r="BZ38" s="58">
        <f t="shared" si="16"/>
        <v>1320</v>
      </c>
      <c r="CA38" s="58">
        <f t="shared" si="16"/>
        <v>-30352</v>
      </c>
      <c r="CB38" s="58">
        <f t="shared" si="16"/>
        <v>-5816</v>
      </c>
      <c r="CC38" s="58">
        <f t="shared" si="16"/>
        <v>-5.6800000000123418E-4</v>
      </c>
      <c r="CD38" s="58">
        <f t="shared" si="16"/>
        <v>-8.6999999993508936E-5</v>
      </c>
      <c r="CE38" s="58">
        <f t="shared" si="16"/>
        <v>-3.0779999999950292E-3</v>
      </c>
      <c r="CF38" s="58">
        <f t="shared" si="16"/>
        <v>2.3100000000013665E-3</v>
      </c>
      <c r="CG38" s="58">
        <f t="shared" si="16"/>
        <v>1.127800000000434E-2</v>
      </c>
      <c r="CJ38" t="s">
        <v>589</v>
      </c>
    </row>
    <row r="39" spans="1:88" ht="16" outlineLevel="1" thickBot="1">
      <c r="A39" s="26"/>
      <c r="B39" s="26" t="s">
        <v>82</v>
      </c>
      <c r="C39" s="27" t="s">
        <v>237</v>
      </c>
      <c r="D39" s="26">
        <v>333190689</v>
      </c>
      <c r="E39" s="27">
        <v>11</v>
      </c>
      <c r="F39" s="27">
        <v>32</v>
      </c>
      <c r="G39" s="27">
        <v>30</v>
      </c>
      <c r="I39" s="28">
        <f t="shared" si="0"/>
        <v>28.640317499999998</v>
      </c>
      <c r="J39" s="29">
        <f t="shared" si="1"/>
        <v>9.168825242892667E-2</v>
      </c>
      <c r="K39" s="29">
        <f t="shared" si="2"/>
        <v>3.8473536095722051E-2</v>
      </c>
      <c r="L39" s="29">
        <f t="shared" si="3"/>
        <v>3.036807550165365E-2</v>
      </c>
      <c r="M39" s="29">
        <f t="shared" si="4"/>
        <v>5.3214716333204619E-2</v>
      </c>
      <c r="N39" s="26">
        <f t="shared" si="5"/>
        <v>12819024</v>
      </c>
      <c r="O39" s="29">
        <v>16</v>
      </c>
      <c r="P39" s="30">
        <v>82067544</v>
      </c>
      <c r="Q39" s="30">
        <v>2564610.75</v>
      </c>
      <c r="R39" s="30">
        <v>19264.46875</v>
      </c>
      <c r="S39" s="31">
        <v>30549672</v>
      </c>
      <c r="T39" s="31">
        <v>10118360</v>
      </c>
      <c r="U39" s="31">
        <v>2700664</v>
      </c>
      <c r="V39" s="31">
        <v>17730648</v>
      </c>
      <c r="W39" s="32">
        <v>78.311515999999997</v>
      </c>
      <c r="X39" s="32">
        <v>81.848194000000007</v>
      </c>
      <c r="Y39" s="32">
        <v>40.159621999999999</v>
      </c>
      <c r="Z39" s="32">
        <v>45.117593999999997</v>
      </c>
      <c r="AA39" s="32">
        <v>48.624606</v>
      </c>
      <c r="AB39" s="33">
        <v>3473.81</v>
      </c>
      <c r="AC39" s="33">
        <v>24146.7</v>
      </c>
      <c r="AD39" s="33">
        <v>217.06800000000001</v>
      </c>
      <c r="AE39" s="33">
        <v>91.518000000000001</v>
      </c>
      <c r="AG39" s="28">
        <f t="shared" si="6"/>
        <v>28.606012499999999</v>
      </c>
      <c r="AH39" s="29">
        <f t="shared" si="7"/>
        <v>9.1578429432042141E-2</v>
      </c>
      <c r="AI39" s="29">
        <f t="shared" si="8"/>
        <v>3.8363400965265269E-2</v>
      </c>
      <c r="AJ39" s="29">
        <f t="shared" si="9"/>
        <v>3.0349035353746036E-2</v>
      </c>
      <c r="AK39" s="29">
        <f t="shared" si="10"/>
        <v>5.3214644302380251E-2</v>
      </c>
      <c r="AL39" s="26">
        <f t="shared" si="11"/>
        <v>12782328</v>
      </c>
      <c r="AM39" s="29">
        <v>16</v>
      </c>
      <c r="AN39" s="30">
        <v>82045034</v>
      </c>
      <c r="AO39" s="30">
        <v>2563907.3125</v>
      </c>
      <c r="AP39" s="30">
        <v>19233.5</v>
      </c>
      <c r="AQ39" s="31">
        <v>30513080</v>
      </c>
      <c r="AR39" s="31">
        <v>10112016</v>
      </c>
      <c r="AS39" s="31">
        <v>2670312</v>
      </c>
      <c r="AT39" s="31">
        <v>17730624</v>
      </c>
      <c r="AU39" s="32">
        <v>78.308863000000002</v>
      </c>
      <c r="AV39" s="32">
        <v>81.850862000000006</v>
      </c>
      <c r="AW39" s="32">
        <v>40.155527999999997</v>
      </c>
      <c r="AX39" s="32">
        <v>45.116328000000003</v>
      </c>
      <c r="AY39" s="32">
        <v>48.626159000000001</v>
      </c>
      <c r="AZ39" s="33">
        <v>3850.09</v>
      </c>
      <c r="BA39" s="33">
        <v>29970.5</v>
      </c>
      <c r="BB39" s="33">
        <v>248.172</v>
      </c>
      <c r="BC39" s="33">
        <v>118.102</v>
      </c>
      <c r="BE39" s="34">
        <f t="shared" si="12"/>
        <v>0.99713737956961468</v>
      </c>
      <c r="BF39" s="35">
        <f t="shared" si="13"/>
        <v>-1.0017823469143754E-5</v>
      </c>
      <c r="BG39" s="35">
        <f t="shared" si="14"/>
        <v>-6.9942266365718986E-4</v>
      </c>
      <c r="BH39" s="35"/>
      <c r="BJ39" s="34"/>
      <c r="BK39" s="34"/>
      <c r="BL39" s="34"/>
      <c r="BM39" s="34"/>
      <c r="BN39" s="34"/>
      <c r="BP39" s="34"/>
      <c r="BQ39" s="34"/>
      <c r="BR39" s="34"/>
      <c r="BS39" s="34"/>
      <c r="BT39" s="34"/>
      <c r="BV39" s="58">
        <f t="shared" si="16"/>
        <v>-22510</v>
      </c>
      <c r="BW39" s="58">
        <f t="shared" si="16"/>
        <v>-703.4375</v>
      </c>
      <c r="BX39" s="58">
        <f t="shared" si="16"/>
        <v>-30.96875</v>
      </c>
      <c r="BY39" s="58">
        <f t="shared" si="16"/>
        <v>-36592</v>
      </c>
      <c r="BZ39" s="58">
        <f t="shared" si="16"/>
        <v>-6344</v>
      </c>
      <c r="CA39" s="58">
        <f t="shared" si="16"/>
        <v>-30352</v>
      </c>
      <c r="CB39" s="58">
        <f t="shared" si="16"/>
        <v>-24</v>
      </c>
      <c r="CC39" s="58">
        <f t="shared" si="16"/>
        <v>-2.6529999999951315E-3</v>
      </c>
      <c r="CD39" s="58">
        <f t="shared" si="16"/>
        <v>2.6679999999998927E-3</v>
      </c>
      <c r="CE39" s="58">
        <f t="shared" si="16"/>
        <v>-4.0940000000020405E-3</v>
      </c>
      <c r="CF39" s="58">
        <f t="shared" si="16"/>
        <v>-1.2659999999939942E-3</v>
      </c>
      <c r="CG39" s="58">
        <f t="shared" si="16"/>
        <v>1.5530000000012478E-3</v>
      </c>
      <c r="CJ39" t="s">
        <v>589</v>
      </c>
    </row>
    <row r="40" spans="1:88" ht="16">
      <c r="B40" s="46" t="s">
        <v>16</v>
      </c>
      <c r="J40" s="47">
        <f>AVERAGE(J5:J24)</f>
        <v>1.7607443125499909E-2</v>
      </c>
      <c r="K40" s="47">
        <f>AVERAGE(K5:K24)</f>
        <v>9.5321793276372524E-3</v>
      </c>
      <c r="L40" s="47">
        <f>AVERAGE(L5:L24)</f>
        <v>6.9516832599163803E-3</v>
      </c>
      <c r="M40" s="47">
        <f>AVERAGE(M5:M24)</f>
        <v>8.0752637978626605E-3</v>
      </c>
      <c r="AH40" s="47">
        <f>AVERAGE(AH5:AH24)</f>
        <v>1.7524708284099064E-2</v>
      </c>
      <c r="AI40" s="47">
        <f>AVERAGE(AI5:AI24)</f>
        <v>9.4866712161740894E-3</v>
      </c>
      <c r="AJ40" s="47">
        <f>AVERAGE(AJ5:AJ24)</f>
        <v>6.9283074395525748E-3</v>
      </c>
      <c r="AK40" s="47">
        <f>AVERAGE(AK5:AK24)</f>
        <v>8.0375291001182105E-3</v>
      </c>
      <c r="BE40" s="51">
        <f t="shared" si="12"/>
        <v>0.99522584396506075</v>
      </c>
      <c r="BH40" s="55">
        <f>AVERAGE(BH5:BH24)</f>
        <v>-8.1073626286665146E-4</v>
      </c>
      <c r="BJ40" s="51">
        <f>AVERAGE(BJ5:BJ24)</f>
        <v>2.8324046827355509E-2</v>
      </c>
      <c r="BK40" s="51">
        <f>AVERAGE(BK5:BK24)</f>
        <v>-7.3289454558356226E-4</v>
      </c>
      <c r="BL40" s="51">
        <f>AVERAGE(BL5:BL24)</f>
        <v>-3.9329958881885729E-3</v>
      </c>
      <c r="BM40" s="51">
        <f>AVERAGE(BM5:BM24)</f>
        <v>-5.4911016298261339E-3</v>
      </c>
      <c r="BN40" s="51">
        <f>AVERAGE(BN5:BN24)</f>
        <v>-1.2649370898510037E-2</v>
      </c>
      <c r="BP40" s="51">
        <f>AVERAGE(BP5:BP24)</f>
        <v>5.9210731139377609E-2</v>
      </c>
      <c r="BQ40" s="51">
        <f>AVERAGE(BQ5:BQ24)</f>
        <v>1.4360046258626857E-3</v>
      </c>
      <c r="BR40" s="51">
        <f>AVERAGE(BR5:BR24)</f>
        <v>-4.0142345667204538E-3</v>
      </c>
      <c r="BS40" s="51">
        <f>AVERAGE(BS5:BS24)</f>
        <v>-7.2839838303180304E-3</v>
      </c>
      <c r="BT40" s="51">
        <f>AVERAGE(BT5:BT24)</f>
        <v>-1.1491038675604553E-2</v>
      </c>
    </row>
    <row r="41" spans="1:88" ht="16">
      <c r="B41" s="46" t="s">
        <v>17</v>
      </c>
      <c r="J41" s="47">
        <f>AVERAGE(J25:J29)</f>
        <v>3.8177977020693157E-2</v>
      </c>
      <c r="K41" s="47">
        <f>AVERAGE(K25:K29)</f>
        <v>1.1417285892349041E-2</v>
      </c>
      <c r="L41" s="47">
        <f>AVERAGE(L25:L29)</f>
        <v>8.7672756735900897E-3</v>
      </c>
      <c r="M41" s="47">
        <f>AVERAGE(M25:M29)</f>
        <v>2.6760691128344116E-2</v>
      </c>
      <c r="AH41" s="47">
        <f>AVERAGE(AH25:AH29)</f>
        <v>3.8080069987292013E-2</v>
      </c>
      <c r="AI41" s="47">
        <f>AVERAGE(AI25:AI29)</f>
        <v>1.1344066568728203E-2</v>
      </c>
      <c r="AJ41" s="47">
        <f>AVERAGE(AJ25:AJ29)</f>
        <v>8.7549893509081232E-3</v>
      </c>
      <c r="AK41" s="47">
        <f>AVERAGE(AK25:AK29)</f>
        <v>2.6735492021157693E-2</v>
      </c>
      <c r="BE41" s="51">
        <f t="shared" si="12"/>
        <v>0.99358697642231208</v>
      </c>
      <c r="BH41" s="55">
        <f>AVERAGE(BH25:BH29)</f>
        <v>-1.5564454430357366E-3</v>
      </c>
      <c r="BJ41" s="51">
        <f>AVERAGE(BJ25:BJ29)</f>
        <v>-5.2582902978909329E-3</v>
      </c>
      <c r="BK41" s="51">
        <f>AVERAGE(BK25:BK29)</f>
        <v>-4.8612829018710446E-3</v>
      </c>
      <c r="BL41" s="51">
        <f>AVERAGE(BL25:BL29)</f>
        <v>-2.6959069535559266E-4</v>
      </c>
      <c r="BM41" s="51">
        <f>AVERAGE(BM25:BM29)</f>
        <v>-7.9207025183631874E-3</v>
      </c>
      <c r="BN41" s="51">
        <f>AVERAGE(BN25:BN29)</f>
        <v>-3.7052872889761224E-3</v>
      </c>
      <c r="BP41" s="51">
        <f>AVERAGE(BP25:BP29)</f>
        <v>1.6764534255724328E-3</v>
      </c>
      <c r="BQ41" s="51">
        <f>AVERAGE(BQ25:BQ29)</f>
        <v>2.3529109477540278E-3</v>
      </c>
      <c r="BR41" s="51">
        <f>AVERAGE(BR25:BR29)</f>
        <v>-3.4122159303344723E-3</v>
      </c>
      <c r="BS41" s="51">
        <f>AVERAGE(BS25:BS29)</f>
        <v>-9.3542380963698157E-3</v>
      </c>
      <c r="BT41" s="51">
        <f>AVERAGE(BT25:BT29)</f>
        <v>-5.9709376515257873E-3</v>
      </c>
    </row>
    <row r="42" spans="1:88" ht="16">
      <c r="B42" s="46" t="s">
        <v>18</v>
      </c>
      <c r="J42" s="47">
        <f>AVERAGE(J30:J39)</f>
        <v>3.5024046893903718E-2</v>
      </c>
      <c r="K42" s="47">
        <f>AVERAGE(K30:K39)</f>
        <v>1.8600416961661072E-2</v>
      </c>
      <c r="L42" s="47">
        <f>AVERAGE(L30:L39)</f>
        <v>1.4301451090252094E-2</v>
      </c>
      <c r="M42" s="47">
        <f>AVERAGE(M30:M39)</f>
        <v>1.6423629932242643E-2</v>
      </c>
      <c r="AH42" s="47">
        <f>AVERAGE(AH30:AH39)</f>
        <v>3.4932161657446434E-2</v>
      </c>
      <c r="AI42" s="47">
        <f>AVERAGE(AI30:AI39)</f>
        <v>1.851442824525729E-2</v>
      </c>
      <c r="AJ42" s="47">
        <f>AVERAGE(AJ30:AJ39)</f>
        <v>1.4297848101410821E-2</v>
      </c>
      <c r="AK42" s="47">
        <f>AVERAGE(AK30:AK39)</f>
        <v>1.6417370855409924E-2</v>
      </c>
      <c r="BE42" s="51">
        <f t="shared" si="12"/>
        <v>0.99537705436490909</v>
      </c>
      <c r="BH42" s="55">
        <f>AVERAGE(BH30:BH39)</f>
        <v>-1.1466186491759789E-3</v>
      </c>
      <c r="BJ42" s="51">
        <f>AVERAGE(BJ30:BJ39)</f>
        <v>-5.7066329173185992E-3</v>
      </c>
      <c r="BK42" s="51">
        <f>AVERAGE(BK30:BK39)</f>
        <v>-5.7092976595391476E-3</v>
      </c>
      <c r="BL42" s="51">
        <f>AVERAGE(BL30:BL39)</f>
        <v>-3.0230762903776798E-4</v>
      </c>
      <c r="BM42" s="51">
        <f>AVERAGE(BM30:BM39)</f>
        <v>-6.9514928248499142E-3</v>
      </c>
      <c r="BN42" s="51">
        <f>AVERAGE(BN30:BN39)</f>
        <v>5.9373431284358569E-3</v>
      </c>
      <c r="BP42" s="51">
        <f>AVERAGE(BP30:BP39)</f>
        <v>-3.9513523629675085E-3</v>
      </c>
      <c r="BQ42" s="51">
        <f>AVERAGE(BQ30:BQ39)</f>
        <v>-4.0829929580862845E-3</v>
      </c>
      <c r="BR42" s="51">
        <f>AVERAGE(BR30:BR39)</f>
        <v>-3.5632361513577848E-3</v>
      </c>
      <c r="BS42" s="51">
        <f>AVERAGE(BS30:BS39)</f>
        <v>-7.9309566048524904E-3</v>
      </c>
      <c r="BT42" s="51">
        <f>AVERAGE(BT30:BT39)</f>
        <v>-1.9474779516634455E-3</v>
      </c>
    </row>
    <row r="43" spans="1:88" ht="16">
      <c r="B43" s="46" t="s">
        <v>19</v>
      </c>
      <c r="J43" s="47">
        <f>AVERAGE(J5:J39)</f>
        <v>2.552226333007146E-2</v>
      </c>
      <c r="K43" s="47">
        <f>AVERAGE(K5:K39)</f>
        <v>1.2392405303745741E-2</v>
      </c>
      <c r="L43" s="47">
        <f>AVERAGE(L5:L39)</f>
        <v>9.3109872705371133E-3</v>
      </c>
      <c r="M43" s="47">
        <f>AVERAGE(M5:M39)</f>
        <v>1.3129858026325721E-2</v>
      </c>
      <c r="AH43" s="47">
        <f>AVERAGE(AH5:AH39)</f>
        <v>2.5434746634083016E-2</v>
      </c>
      <c r="AI43" s="47">
        <f>AVERAGE(AI5:AI39)</f>
        <v>1.2331372560562728E-2</v>
      </c>
      <c r="AJ43" s="47">
        <f>AVERAGE(AJ5:AJ39)</f>
        <v>9.2948450445628685E-3</v>
      </c>
      <c r="AK43" s="47">
        <f>AVERAGE(AK5:AK39)</f>
        <v>1.3102907161778627E-2</v>
      </c>
      <c r="BE43" s="51">
        <f t="shared" si="12"/>
        <v>0.99507498813288775</v>
      </c>
      <c r="BH43" s="55">
        <f>AVERAGE(BH5:BH39)</f>
        <v>-1.0132325418363286E-3</v>
      </c>
      <c r="BJ43" s="51">
        <f>AVERAGE(BJ5:BJ39)</f>
        <v>1.3803518739556273E-2</v>
      </c>
      <c r="BK43" s="51">
        <f>AVERAGE(BK5:BK39)</f>
        <v>-2.7444937718976554E-3</v>
      </c>
      <c r="BL43" s="51">
        <f>AVERAGE(BL5:BL39)</f>
        <v>-2.3723127865979171E-3</v>
      </c>
      <c r="BM43" s="51">
        <f>AVERAGE(BM5:BM39)</f>
        <v>-6.2554420981953641E-3</v>
      </c>
      <c r="BN43" s="51">
        <f>AVERAGE(BN5:BN39)</f>
        <v>-6.0611549465920799E-3</v>
      </c>
      <c r="BP43" s="51">
        <f>AVERAGE(BP5:BP39)</f>
        <v>3.2945239036735408E-2</v>
      </c>
      <c r="BQ43" s="51">
        <f>AVERAGE(BQ5:BQ39)</f>
        <v>-9.8652092811140379E-6</v>
      </c>
      <c r="BR43" s="51">
        <f>AVERAGE(BR5:BR39)</f>
        <v>-3.7993752142759796E-3</v>
      </c>
      <c r="BS43" s="51">
        <f>AVERAGE(BS5:BS39)</f>
        <v>-7.7645838039067027E-3</v>
      </c>
      <c r="BT43" s="51">
        <f>AVERAGE(BT5:BT39)</f>
        <v>-7.975721179610127E-3</v>
      </c>
    </row>
    <row r="44" spans="1:88" ht="16" hidden="1" outlineLevel="2">
      <c r="A44" s="46" t="s">
        <v>245</v>
      </c>
      <c r="B44" s="46" t="s">
        <v>246</v>
      </c>
      <c r="AB44" s="48">
        <f>SUM(AB5:AB24,AB25:AB29,AB30:AB39)</f>
        <v>135034.15999999997</v>
      </c>
      <c r="AC44" s="48">
        <f>SUM(AC5:AC24,AC25:AC29,AC30:AC39)</f>
        <v>327102.43</v>
      </c>
      <c r="AD44" s="48">
        <f>SUM(AD5:AD24,AD25:AD29,AD30:AD39)</f>
        <v>4227.5379999999996</v>
      </c>
      <c r="AE44" s="48">
        <f>SUM(AE5:AE24,AE25:AE29,AE30:AE39)</f>
        <v>1388.0099999999998</v>
      </c>
      <c r="AZ44" s="48">
        <f>SUM(AZ5:AZ24,AZ25:AZ29,AZ30:AZ39)</f>
        <v>131935.01000000004</v>
      </c>
      <c r="BA44" s="48">
        <f>SUM(BA5:BA24,BA25:BA29,BA30:BA39)</f>
        <v>312158.63999999996</v>
      </c>
      <c r="BB44" s="48">
        <f>SUM(BB5:BB24,BB25:BB29,BB30:BB39)</f>
        <v>4252.2020000000002</v>
      </c>
      <c r="BC44" s="48">
        <f>SUM(BC5:BC24,BC25:BC29,BC30:BC39)</f>
        <v>1342.1770000000001</v>
      </c>
    </row>
    <row r="45" spans="1:88" ht="16" hidden="1" outlineLevel="2">
      <c r="B45" s="46" t="s">
        <v>247</v>
      </c>
      <c r="AZ45" s="55">
        <f>AZ44/AB44</f>
        <v>0.97704914075075566</v>
      </c>
      <c r="BA45" s="55">
        <f>BA44/AC44</f>
        <v>0.95431464694407797</v>
      </c>
      <c r="BB45" s="55">
        <f>BB44/AD44</f>
        <v>1.0058341285164085</v>
      </c>
      <c r="BC45" s="55">
        <f>BC44/AE44</f>
        <v>0.9669793445292183</v>
      </c>
    </row>
    <row r="46" spans="1:88" ht="16" hidden="1" outlineLevel="2">
      <c r="B46" s="46" t="s">
        <v>248</v>
      </c>
      <c r="AB46" s="48">
        <f>GEOMEAN(AB5:AB24,AB25:AB29,AB30:AB39)</f>
        <v>3646.7529472135416</v>
      </c>
      <c r="AC46" s="48">
        <f>GEOMEAN(AC5:AC24,AC25:AC29,AC30:AC39)</f>
        <v>6479.7210171863253</v>
      </c>
      <c r="AD46" s="48">
        <f>GEOMEAN(AD5:AD24,AD25:AD29,AD30:AD39)</f>
        <v>100.32118411466705</v>
      </c>
      <c r="AE46" s="48">
        <f>GEOMEAN(AE5:AE24,AE25:AE29,AE30:AE39)</f>
        <v>28.296496280109611</v>
      </c>
      <c r="AZ46" s="48">
        <f>GEOMEAN(AZ5:AZ24,AZ25:AZ29,AZ30:AZ39)</f>
        <v>3578.1933597936495</v>
      </c>
      <c r="BA46" s="48">
        <f>GEOMEAN(BA5:BA24,BA25:BA29,BA30:BA39)</f>
        <v>6444.7649121879276</v>
      </c>
      <c r="BB46" s="48">
        <f>GEOMEAN(BB5:BB24,BB25:BB29,BB30:BB39)</f>
        <v>102.41054158961438</v>
      </c>
      <c r="BC46" s="48">
        <f>GEOMEAN(BC5:BC24,BC25:BC29,BC30:BC39)</f>
        <v>28.612309817486945</v>
      </c>
    </row>
    <row r="47" spans="1:88" ht="16" outlineLevel="2" collapsed="1">
      <c r="B47" s="46" t="s">
        <v>249</v>
      </c>
      <c r="AZ47" s="55">
        <f>AZ46/AB46</f>
        <v>0.98119982669177574</v>
      </c>
      <c r="BA47" s="55">
        <f>BA46/AC46</f>
        <v>0.99460530709490691</v>
      </c>
      <c r="BB47" s="55">
        <f>BB46/AD46</f>
        <v>1.0208266827528591</v>
      </c>
      <c r="BC47" s="55">
        <f>BC46/AE46</f>
        <v>1.011160870740005</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phoneticPr fontId="2"/>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L5" activePane="bottomRight" state="frozen"/>
      <selection pane="topRight" activeCell="C1" sqref="C1"/>
      <selection pane="bottomLeft" activeCell="A5" sqref="A5"/>
      <selection pane="bottomRight" activeCell="AC34" sqref="AC34"/>
    </sheetView>
  </sheetViews>
  <sheetFormatPr baseColWidth="10" defaultColWidth="8.83203125" defaultRowHeight="15" outlineLevelRow="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c r="A1" s="76" t="s">
        <v>572</v>
      </c>
      <c r="B1" s="62"/>
      <c r="C1" s="62"/>
      <c r="D1" s="62"/>
      <c r="E1" s="62"/>
      <c r="F1" s="62"/>
      <c r="H1" s="61" t="s">
        <v>590</v>
      </c>
      <c r="I1" s="62"/>
      <c r="J1" s="62"/>
      <c r="K1" s="62"/>
      <c r="L1" s="62"/>
      <c r="M1" s="62"/>
      <c r="N1" s="62"/>
      <c r="O1" s="62"/>
      <c r="P1" s="62"/>
      <c r="Q1" s="62"/>
      <c r="R1" s="62"/>
      <c r="S1" s="62"/>
      <c r="T1" s="62"/>
      <c r="U1" s="62"/>
      <c r="V1" s="62"/>
      <c r="W1" s="62"/>
      <c r="X1" s="62"/>
      <c r="Y1" s="62"/>
      <c r="Z1" s="62"/>
      <c r="AA1" s="62"/>
      <c r="AB1" s="62"/>
      <c r="AC1" s="62"/>
      <c r="AE1" s="63"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c r="A2" s="72" t="s">
        <v>139</v>
      </c>
      <c r="B2" s="73" t="s">
        <v>140</v>
      </c>
      <c r="C2" s="72" t="s">
        <v>142</v>
      </c>
      <c r="D2" s="73" t="s">
        <v>143</v>
      </c>
      <c r="E2" s="72" t="s">
        <v>144</v>
      </c>
      <c r="F2" s="73" t="s">
        <v>145</v>
      </c>
      <c r="H2" s="72" t="s">
        <v>573</v>
      </c>
      <c r="I2" s="73" t="s">
        <v>146</v>
      </c>
      <c r="J2" s="74" t="s">
        <v>147</v>
      </c>
      <c r="K2" s="62"/>
      <c r="L2" s="62"/>
      <c r="M2" s="62"/>
      <c r="N2" s="72" t="s">
        <v>148</v>
      </c>
      <c r="O2" s="73" t="s">
        <v>149</v>
      </c>
      <c r="P2" s="72" t="s">
        <v>86</v>
      </c>
      <c r="Q2" s="75" t="s">
        <v>150</v>
      </c>
      <c r="R2" s="62"/>
      <c r="S2" s="62"/>
      <c r="T2" s="62"/>
      <c r="U2" s="74" t="s">
        <v>151</v>
      </c>
      <c r="V2" s="62"/>
      <c r="W2" s="75" t="s">
        <v>152</v>
      </c>
      <c r="X2" s="62"/>
      <c r="Y2" s="62"/>
      <c r="Z2" s="74" t="s">
        <v>153</v>
      </c>
      <c r="AA2" s="62"/>
      <c r="AB2" s="75" t="s">
        <v>154</v>
      </c>
      <c r="AC2" s="62"/>
      <c r="AE2" s="72" t="s">
        <v>573</v>
      </c>
      <c r="AF2" s="73" t="s">
        <v>146</v>
      </c>
      <c r="AG2" s="74" t="s">
        <v>147</v>
      </c>
      <c r="AH2" s="62"/>
      <c r="AI2" s="62"/>
      <c r="AJ2" s="62"/>
      <c r="AK2" s="72" t="s">
        <v>155</v>
      </c>
      <c r="AL2" s="73" t="s">
        <v>149</v>
      </c>
      <c r="AM2" s="72" t="s">
        <v>86</v>
      </c>
      <c r="AN2" s="75" t="s">
        <v>150</v>
      </c>
      <c r="AO2" s="62"/>
      <c r="AP2" s="62"/>
      <c r="AQ2" s="62"/>
      <c r="AR2" s="74" t="s">
        <v>151</v>
      </c>
      <c r="AS2" s="62"/>
      <c r="AT2" s="75" t="s">
        <v>152</v>
      </c>
      <c r="AU2" s="62"/>
      <c r="AV2" s="62"/>
      <c r="AW2" s="74" t="s">
        <v>153</v>
      </c>
      <c r="AX2" s="62"/>
      <c r="AY2" s="75" t="s">
        <v>154</v>
      </c>
      <c r="AZ2" s="62"/>
      <c r="BB2" s="74" t="s">
        <v>24</v>
      </c>
      <c r="BC2" s="62"/>
      <c r="BD2" s="62"/>
      <c r="BE2" s="62"/>
      <c r="BF2" s="73" t="s">
        <v>158</v>
      </c>
      <c r="BG2" s="72" t="s">
        <v>158</v>
      </c>
    </row>
    <row r="3" spans="1:68" ht="29" customHeight="1" thickBot="1">
      <c r="A3" s="65"/>
      <c r="B3" s="65"/>
      <c r="C3" s="65"/>
      <c r="D3" s="65"/>
      <c r="E3" s="65"/>
      <c r="F3" s="65"/>
      <c r="H3" s="65"/>
      <c r="I3" s="65"/>
      <c r="J3" s="56" t="s">
        <v>27</v>
      </c>
      <c r="K3" s="56" t="s">
        <v>25</v>
      </c>
      <c r="L3" s="56" t="s">
        <v>159</v>
      </c>
      <c r="M3" s="56" t="s">
        <v>160</v>
      </c>
      <c r="N3" s="65"/>
      <c r="O3" s="65"/>
      <c r="P3" s="65"/>
      <c r="Q3" s="57" t="s">
        <v>27</v>
      </c>
      <c r="R3" s="57" t="s">
        <v>159</v>
      </c>
      <c r="S3" s="57" t="s">
        <v>161</v>
      </c>
      <c r="T3" s="57" t="s">
        <v>26</v>
      </c>
      <c r="U3" s="56" t="s">
        <v>11</v>
      </c>
      <c r="V3" s="56" t="s">
        <v>12</v>
      </c>
      <c r="W3" s="57" t="s">
        <v>13</v>
      </c>
      <c r="X3" s="57" t="s">
        <v>14</v>
      </c>
      <c r="Y3" s="57" t="s">
        <v>15</v>
      </c>
      <c r="Z3" s="56" t="s">
        <v>162</v>
      </c>
      <c r="AA3" s="56" t="s">
        <v>163</v>
      </c>
      <c r="AB3" s="57" t="s">
        <v>162</v>
      </c>
      <c r="AC3" s="57" t="s">
        <v>163</v>
      </c>
      <c r="AE3" s="65"/>
      <c r="AF3" s="65"/>
      <c r="AG3" s="56" t="s">
        <v>27</v>
      </c>
      <c r="AH3" s="56" t="s">
        <v>25</v>
      </c>
      <c r="AI3" s="56" t="s">
        <v>159</v>
      </c>
      <c r="AJ3" s="56" t="s">
        <v>160</v>
      </c>
      <c r="AK3" s="65"/>
      <c r="AL3" s="65"/>
      <c r="AM3" s="65"/>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5"/>
      <c r="BG3" s="65"/>
    </row>
    <row r="4" spans="1:68" ht="123" hidden="1" customHeight="1">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c r="A5" s="52" t="s">
        <v>231</v>
      </c>
      <c r="B5" s="52" t="s">
        <v>51</v>
      </c>
      <c r="C5" s="52">
        <v>238146391</v>
      </c>
      <c r="D5" s="9">
        <v>10</v>
      </c>
      <c r="E5" s="9">
        <v>32</v>
      </c>
      <c r="F5" s="9">
        <v>30</v>
      </c>
      <c r="H5" s="16">
        <f t="shared" ref="H5:H11" si="0">IF(ISBLANK(Q5),"·",Q5/(C5*(D5*3+IF(AND(ISNUMBER(T5),T5&gt;0),24,0))))</f>
        <v>1.7309498167110658E-2</v>
      </c>
      <c r="I5" s="10">
        <f t="shared" ref="I5:I11" si="1">IF(OR(ISBLANK(Q5),ISBLANK(F5)),"·",Q5*F5/E5/1000000)</f>
        <v>208.68609749999999</v>
      </c>
      <c r="J5" s="11">
        <f t="shared" ref="J5:J11" si="2">IF(ISBLANK(Q5),"·",Q5/C5)</f>
        <v>0.93471290102397564</v>
      </c>
      <c r="K5" s="11">
        <f t="shared" ref="K5:K11" si="3">IF(N5="","·",N5/C5)</f>
        <v>0.14565948219639407</v>
      </c>
      <c r="L5" s="11">
        <f t="shared" ref="L5:L11" si="4">IF(R5="","·",R5/C5)</f>
        <v>0.13670905472592276</v>
      </c>
      <c r="M5" s="11">
        <f t="shared" ref="M5:M11" si="5">IF(ISBLANK(T5),"·",T5/C5)</f>
        <v>0.78905341882758151</v>
      </c>
      <c r="N5" s="52">
        <f t="shared" ref="N5:N11" si="6">IF(OR(ISBLANK(R5),ISBLANK(S5)),"",R5+S5)</f>
        <v>34688280</v>
      </c>
      <c r="O5" s="11">
        <v>16</v>
      </c>
      <c r="P5" s="12">
        <v>24964341</v>
      </c>
      <c r="Q5" s="13">
        <v>222598504</v>
      </c>
      <c r="R5" s="13">
        <v>32556768</v>
      </c>
      <c r="S5" s="13">
        <v>2131512</v>
      </c>
      <c r="T5" s="13">
        <v>187910224</v>
      </c>
      <c r="U5" s="14"/>
      <c r="V5" s="14"/>
      <c r="W5" s="14"/>
      <c r="X5" s="14"/>
      <c r="Y5" s="14"/>
      <c r="Z5" s="15">
        <v>3786.53</v>
      </c>
      <c r="AA5" s="15">
        <v>4297.1000000000004</v>
      </c>
      <c r="AB5" s="15">
        <v>5.7839999999999998</v>
      </c>
      <c r="AC5" s="15">
        <v>26.609000000000002</v>
      </c>
      <c r="AE5" s="16">
        <f t="shared" ref="AE5:AE11" si="7">IF(ISBLANK(Q5),"·",Q5/(C5*(D5*3+IF(AND(ISNUMBER(T5),T5&gt;0),24,0))))</f>
        <v>1.7309498167110658E-2</v>
      </c>
      <c r="AF5" s="10">
        <f t="shared" ref="AF5:AF11" si="8">IF(OR(ISBLANK(AN5),ISBLANK(F5)),"·",AN5*F5/E5/1000000)</f>
        <v>208.675905</v>
      </c>
      <c r="AG5" s="11">
        <f t="shared" ref="AG5:AG11" si="9">IF(ISBLANK(AN5),"·",AN5/C5)</f>
        <v>0.93466724843207893</v>
      </c>
      <c r="AH5" s="11">
        <f t="shared" ref="AH5:AH11" si="10">IF(AK5="","·",AK5/C5)</f>
        <v>0.14561312415605743</v>
      </c>
      <c r="AI5" s="11">
        <f t="shared" ref="AI5:AI11" si="11">IF(AO5="","·",AO5/C5)</f>
        <v>0.13670905472592276</v>
      </c>
      <c r="AJ5" s="11">
        <f t="shared" ref="AJ5:AJ11" si="12">IF(ISBLANK(AQ5),"·",AQ5/C5)</f>
        <v>0.78905341882758151</v>
      </c>
      <c r="AK5" s="52">
        <f t="shared" ref="AK5:AK11" si="13">IF(OR(ISBLANK(AO5),ISBLANK(AP5)),"",AO5+AP5)</f>
        <v>34677240</v>
      </c>
      <c r="AL5" s="11">
        <v>16</v>
      </c>
      <c r="AM5" s="12">
        <v>24964341</v>
      </c>
      <c r="AN5" s="13">
        <v>222587632</v>
      </c>
      <c r="AO5" s="13">
        <v>32556768</v>
      </c>
      <c r="AP5" s="13">
        <v>2120472</v>
      </c>
      <c r="AQ5" s="13">
        <v>187910224</v>
      </c>
      <c r="AR5" s="14"/>
      <c r="AS5" s="14"/>
      <c r="AT5" s="14"/>
      <c r="AU5" s="14"/>
      <c r="AV5" s="14"/>
      <c r="AW5" s="15">
        <v>4033.92</v>
      </c>
      <c r="AX5" s="15">
        <v>5187.3599999999997</v>
      </c>
      <c r="AY5" s="15">
        <v>6.6109999999999998</v>
      </c>
      <c r="AZ5" s="15">
        <v>33.703000000000003</v>
      </c>
      <c r="BB5" s="50">
        <f t="shared" ref="BB5:BB15" si="14">AG5/J5</f>
        <v>0.99995115870140805</v>
      </c>
      <c r="BC5" s="50">
        <f t="shared" ref="BC5:BC15" si="15">AH5/K5</f>
        <v>0.99968173688634876</v>
      </c>
      <c r="BD5" s="50">
        <f t="shared" ref="BD5:BD15" si="16">AI5/L5</f>
        <v>1</v>
      </c>
      <c r="BE5" s="50">
        <f t="shared" ref="BE5:BE15" si="17">AJ5/M5</f>
        <v>1</v>
      </c>
      <c r="BF5" s="16">
        <f t="shared" ref="BF5:BF11" si="18">(AK5/AN5) - (N5/Q5)</f>
        <v>-4.1986966099138989E-5</v>
      </c>
      <c r="BG5" s="16">
        <f t="array" ref="BG5">AVERAGE(AK5:AK5/AN5:AN5) - AVERAGE(N5:N5/Q5:Q5)</f>
        <v>-4.1986966099138989E-5</v>
      </c>
      <c r="BI5" s="58">
        <f t="shared" ref="BI5:BI11" si="19">AM5-P5</f>
        <v>0</v>
      </c>
      <c r="BJ5" s="58">
        <f t="shared" ref="BJ5:BL11" si="20">AN5-Q5</f>
        <v>-10872</v>
      </c>
      <c r="BK5" s="58">
        <f t="shared" si="20"/>
        <v>0</v>
      </c>
      <c r="BL5" s="58">
        <f t="shared" si="20"/>
        <v>-11040</v>
      </c>
      <c r="BP5" t="s">
        <v>233</v>
      </c>
    </row>
    <row r="6" spans="1:68" collapsed="1">
      <c r="A6" s="17"/>
      <c r="B6" s="17" t="s">
        <v>59</v>
      </c>
      <c r="C6" s="17">
        <v>218121242</v>
      </c>
      <c r="D6" s="18">
        <v>10</v>
      </c>
      <c r="E6" s="18">
        <v>32</v>
      </c>
      <c r="F6" s="18">
        <v>30</v>
      </c>
      <c r="H6" s="25">
        <f t="shared" si="0"/>
        <v>2.4678690701140728E-2</v>
      </c>
      <c r="I6" s="19">
        <f t="shared" si="1"/>
        <v>272.51167500000003</v>
      </c>
      <c r="J6" s="20">
        <f t="shared" si="2"/>
        <v>1.3326492978615994</v>
      </c>
      <c r="K6" s="20">
        <f t="shared" si="3"/>
        <v>0.17701072873956952</v>
      </c>
      <c r="L6" s="20">
        <f t="shared" si="4"/>
        <v>0.16167694478834849</v>
      </c>
      <c r="M6" s="20">
        <f t="shared" si="5"/>
        <v>1.1556385691220299</v>
      </c>
      <c r="N6" s="17">
        <f t="shared" si="6"/>
        <v>38609800</v>
      </c>
      <c r="O6" s="20">
        <v>16</v>
      </c>
      <c r="P6" s="21">
        <v>22654789</v>
      </c>
      <c r="Q6" s="22">
        <v>290679120</v>
      </c>
      <c r="R6" s="22">
        <v>35265176</v>
      </c>
      <c r="S6" s="22">
        <v>3344624</v>
      </c>
      <c r="T6" s="22">
        <v>252069320</v>
      </c>
      <c r="U6" s="23"/>
      <c r="V6" s="23"/>
      <c r="W6" s="23"/>
      <c r="X6" s="23"/>
      <c r="Y6" s="23"/>
      <c r="Z6" s="24">
        <v>3498.18</v>
      </c>
      <c r="AA6" s="24">
        <v>4402.0200000000004</v>
      </c>
      <c r="AB6" s="24">
        <v>5.4329999999999998</v>
      </c>
      <c r="AC6" s="24">
        <v>27.44</v>
      </c>
      <c r="AE6" s="25">
        <f t="shared" si="7"/>
        <v>2.4678690701140728E-2</v>
      </c>
      <c r="AF6" s="19">
        <f t="shared" si="8"/>
        <v>272.48368499999998</v>
      </c>
      <c r="AG6" s="20">
        <f t="shared" si="9"/>
        <v>1.3325124198586766</v>
      </c>
      <c r="AH6" s="20">
        <f t="shared" si="10"/>
        <v>0.17687308052280393</v>
      </c>
      <c r="AI6" s="20">
        <f t="shared" si="11"/>
        <v>0.16167694478834849</v>
      </c>
      <c r="AJ6" s="20">
        <f t="shared" si="12"/>
        <v>1.1556385691220299</v>
      </c>
      <c r="AK6" s="17">
        <f t="shared" si="13"/>
        <v>38579776</v>
      </c>
      <c r="AL6" s="20">
        <v>16</v>
      </c>
      <c r="AM6" s="21">
        <v>22654789</v>
      </c>
      <c r="AN6" s="22">
        <v>290649264</v>
      </c>
      <c r="AO6" s="22">
        <v>35265176</v>
      </c>
      <c r="AP6" s="22">
        <v>3314600</v>
      </c>
      <c r="AQ6" s="22">
        <v>252069320</v>
      </c>
      <c r="AR6" s="23"/>
      <c r="AS6" s="23"/>
      <c r="AT6" s="23"/>
      <c r="AU6" s="23"/>
      <c r="AV6" s="23"/>
      <c r="AW6" s="24">
        <v>3721.75</v>
      </c>
      <c r="AX6" s="24">
        <v>4211.91</v>
      </c>
      <c r="AY6" s="24">
        <v>5.3650000000000002</v>
      </c>
      <c r="AZ6" s="24">
        <v>26.128</v>
      </c>
      <c r="BB6" s="49">
        <f t="shared" si="14"/>
        <v>0.99989728880423201</v>
      </c>
      <c r="BC6" s="49">
        <f t="shared" si="15"/>
        <v>0.99922237359426891</v>
      </c>
      <c r="BD6" s="49">
        <f t="shared" si="16"/>
        <v>1</v>
      </c>
      <c r="BE6" s="49">
        <f t="shared" si="17"/>
        <v>1</v>
      </c>
      <c r="BF6" s="25">
        <f t="shared" si="18"/>
        <v>-8.9655624497420039E-5</v>
      </c>
      <c r="BG6" s="25">
        <f t="array" ref="BG6">AVERAGE(AK6:AK6/AN6:AN6) - AVERAGE(N6:N6/Q6:Q6)</f>
        <v>-8.9655624497420039E-5</v>
      </c>
      <c r="BI6" s="58">
        <f t="shared" si="19"/>
        <v>0</v>
      </c>
      <c r="BJ6" s="58">
        <f t="shared" si="20"/>
        <v>-29856</v>
      </c>
      <c r="BK6" s="58">
        <f t="shared" si="20"/>
        <v>0</v>
      </c>
      <c r="BL6" s="58">
        <f t="shared" si="20"/>
        <v>-30024</v>
      </c>
      <c r="BP6" t="s">
        <v>233</v>
      </c>
    </row>
    <row r="7" spans="1:68" collapsed="1">
      <c r="A7" s="52"/>
      <c r="B7" s="52" t="s">
        <v>64</v>
      </c>
      <c r="C7" s="52">
        <v>322589704</v>
      </c>
      <c r="D7" s="9">
        <v>10</v>
      </c>
      <c r="E7" s="9">
        <v>32</v>
      </c>
      <c r="F7" s="9">
        <v>30</v>
      </c>
      <c r="H7" s="16">
        <f t="shared" si="0"/>
        <v>1.9523018902329534E-2</v>
      </c>
      <c r="I7" s="10">
        <f t="shared" si="1"/>
        <v>318.8324475</v>
      </c>
      <c r="J7" s="11">
        <f t="shared" si="2"/>
        <v>1.0542430207257947</v>
      </c>
      <c r="K7" s="11">
        <f t="shared" si="3"/>
        <v>0.17341649564860259</v>
      </c>
      <c r="L7" s="11">
        <f t="shared" si="4"/>
        <v>0.16060016596189938</v>
      </c>
      <c r="M7" s="11">
        <f t="shared" si="5"/>
        <v>0.88082652507719217</v>
      </c>
      <c r="N7" s="52">
        <f t="shared" si="6"/>
        <v>55942376</v>
      </c>
      <c r="O7" s="11">
        <v>16</v>
      </c>
      <c r="P7" s="12">
        <v>33947718</v>
      </c>
      <c r="Q7" s="13">
        <v>340087944</v>
      </c>
      <c r="R7" s="13">
        <v>51807960</v>
      </c>
      <c r="S7" s="13">
        <v>4134416</v>
      </c>
      <c r="T7" s="13">
        <v>284145568</v>
      </c>
      <c r="U7" s="14"/>
      <c r="V7" s="14"/>
      <c r="W7" s="14"/>
      <c r="X7" s="14"/>
      <c r="Y7" s="14"/>
      <c r="Z7" s="15">
        <v>5654.28</v>
      </c>
      <c r="AA7" s="15">
        <v>7278.3</v>
      </c>
      <c r="AB7" s="15">
        <v>9.69</v>
      </c>
      <c r="AC7" s="15">
        <v>39.94</v>
      </c>
      <c r="AE7" s="16">
        <f t="shared" si="7"/>
        <v>1.9523018902329534E-2</v>
      </c>
      <c r="AF7" s="10">
        <f t="shared" si="8"/>
        <v>318.79404</v>
      </c>
      <c r="AG7" s="11">
        <f t="shared" si="9"/>
        <v>1.0541160234921818</v>
      </c>
      <c r="AH7" s="11">
        <f t="shared" si="10"/>
        <v>0.17328897762961462</v>
      </c>
      <c r="AI7" s="11">
        <f t="shared" si="11"/>
        <v>0.16060016596189938</v>
      </c>
      <c r="AJ7" s="11">
        <f t="shared" si="12"/>
        <v>0.88082652507719217</v>
      </c>
      <c r="AK7" s="52">
        <f t="shared" si="13"/>
        <v>55901240</v>
      </c>
      <c r="AL7" s="11">
        <v>16</v>
      </c>
      <c r="AM7" s="12">
        <v>33947718</v>
      </c>
      <c r="AN7" s="13">
        <v>340046976</v>
      </c>
      <c r="AO7" s="13">
        <v>51807960</v>
      </c>
      <c r="AP7" s="13">
        <v>4093280</v>
      </c>
      <c r="AQ7" s="13">
        <v>284145568</v>
      </c>
      <c r="AR7" s="14"/>
      <c r="AS7" s="14"/>
      <c r="AT7" s="14"/>
      <c r="AU7" s="14"/>
      <c r="AV7" s="14"/>
      <c r="AW7" s="15">
        <v>4816.72</v>
      </c>
      <c r="AX7" s="15">
        <v>5703.97</v>
      </c>
      <c r="AY7" s="15">
        <v>8.6750000000000007</v>
      </c>
      <c r="AZ7" s="15">
        <v>31.893999999999998</v>
      </c>
      <c r="BB7" s="50">
        <f t="shared" si="14"/>
        <v>0.99987953704116017</v>
      </c>
      <c r="BC7" s="50">
        <f t="shared" si="15"/>
        <v>0.99926467191883317</v>
      </c>
      <c r="BD7" s="50">
        <f t="shared" si="16"/>
        <v>1</v>
      </c>
      <c r="BE7" s="50">
        <f t="shared" si="17"/>
        <v>1</v>
      </c>
      <c r="BF7" s="16">
        <f t="shared" si="18"/>
        <v>-1.0115371783958604E-4</v>
      </c>
      <c r="BG7" s="16">
        <f t="array" ref="BG7">AVERAGE(AK7:AK7/AN7:AN7) - AVERAGE(N7:N7/Q7:Q7)</f>
        <v>-1.0115371783958604E-4</v>
      </c>
      <c r="BI7" s="58">
        <f t="shared" si="19"/>
        <v>0</v>
      </c>
      <c r="BJ7" s="58">
        <f t="shared" si="20"/>
        <v>-40968</v>
      </c>
      <c r="BK7" s="58">
        <f t="shared" si="20"/>
        <v>0</v>
      </c>
      <c r="BL7" s="58">
        <f t="shared" si="20"/>
        <v>-41136</v>
      </c>
      <c r="BP7" t="s">
        <v>241</v>
      </c>
    </row>
    <row r="8" spans="1:68" ht="16" collapsed="1" thickBot="1">
      <c r="A8" s="36"/>
      <c r="B8" s="36" t="s">
        <v>70</v>
      </c>
      <c r="C8" s="36">
        <v>250602891</v>
      </c>
      <c r="D8" s="37">
        <v>10</v>
      </c>
      <c r="E8" s="37">
        <v>32</v>
      </c>
      <c r="F8" s="37">
        <v>50</v>
      </c>
      <c r="H8" s="45">
        <f t="shared" si="0"/>
        <v>1.9485611275404314E-2</v>
      </c>
      <c r="I8" s="38">
        <f t="shared" si="1"/>
        <v>412.01582500000001</v>
      </c>
      <c r="J8" s="39">
        <f t="shared" si="2"/>
        <v>1.052223008871833</v>
      </c>
      <c r="K8" s="39">
        <f t="shared" si="3"/>
        <v>0.1637293162751263</v>
      </c>
      <c r="L8" s="39">
        <f t="shared" si="4"/>
        <v>0.14309820551910551</v>
      </c>
      <c r="M8" s="39">
        <f t="shared" si="5"/>
        <v>0.88849369259670674</v>
      </c>
      <c r="N8" s="36">
        <f t="shared" si="6"/>
        <v>41031040</v>
      </c>
      <c r="O8" s="39">
        <v>16</v>
      </c>
      <c r="P8" s="40">
        <v>32209643</v>
      </c>
      <c r="Q8" s="41">
        <v>263690128</v>
      </c>
      <c r="R8" s="41">
        <v>35860824</v>
      </c>
      <c r="S8" s="41">
        <v>5170216</v>
      </c>
      <c r="T8" s="41">
        <v>222659088</v>
      </c>
      <c r="U8" s="42"/>
      <c r="V8" s="42"/>
      <c r="W8" s="42"/>
      <c r="X8" s="42"/>
      <c r="Y8" s="42"/>
      <c r="Z8" s="43">
        <v>4667.41</v>
      </c>
      <c r="AA8" s="43">
        <v>4624.9399999999996</v>
      </c>
      <c r="AB8" s="43">
        <v>6.9169999999999998</v>
      </c>
      <c r="AC8" s="43">
        <v>28.849</v>
      </c>
      <c r="AE8" s="45">
        <f t="shared" si="7"/>
        <v>1.9485611275404314E-2</v>
      </c>
      <c r="AF8" s="38">
        <f t="shared" si="8"/>
        <v>411.96547500000003</v>
      </c>
      <c r="AG8" s="39">
        <f t="shared" si="9"/>
        <v>1.0520944229649769</v>
      </c>
      <c r="AH8" s="39">
        <f t="shared" si="10"/>
        <v>0.16360005998494248</v>
      </c>
      <c r="AI8" s="39">
        <f t="shared" si="11"/>
        <v>0.14309820551910551</v>
      </c>
      <c r="AJ8" s="39">
        <f t="shared" si="12"/>
        <v>0.88849369259670674</v>
      </c>
      <c r="AK8" s="36">
        <f t="shared" si="13"/>
        <v>40998648</v>
      </c>
      <c r="AL8" s="39">
        <v>16</v>
      </c>
      <c r="AM8" s="40">
        <v>32209643</v>
      </c>
      <c r="AN8" s="41">
        <v>263657904</v>
      </c>
      <c r="AO8" s="41">
        <v>35860824</v>
      </c>
      <c r="AP8" s="41">
        <v>5137824</v>
      </c>
      <c r="AQ8" s="41">
        <v>222659088</v>
      </c>
      <c r="AR8" s="42"/>
      <c r="AS8" s="42"/>
      <c r="AT8" s="42"/>
      <c r="AU8" s="42"/>
      <c r="AV8" s="42"/>
      <c r="AW8" s="43">
        <v>5532.97</v>
      </c>
      <c r="AX8" s="43">
        <v>4978.8500000000004</v>
      </c>
      <c r="AY8" s="43">
        <v>6.9349999999999996</v>
      </c>
      <c r="AZ8" s="43">
        <v>28.931000000000001</v>
      </c>
      <c r="BB8" s="44">
        <f t="shared" si="14"/>
        <v>0.999877795956017</v>
      </c>
      <c r="BC8" s="44">
        <f t="shared" si="15"/>
        <v>0.99921054889176586</v>
      </c>
      <c r="BD8" s="44">
        <f t="shared" si="16"/>
        <v>1</v>
      </c>
      <c r="BE8" s="44">
        <f t="shared" si="17"/>
        <v>1</v>
      </c>
      <c r="BF8" s="45">
        <f t="shared" si="18"/>
        <v>-1.0383849893297326E-4</v>
      </c>
      <c r="BG8" s="45">
        <f t="array" ref="BG8">AVERAGE(AK8:AK8/AN8:AN8) - AVERAGE(N8:N8/Q8:Q8)</f>
        <v>-1.0383849893297326E-4</v>
      </c>
      <c r="BI8" s="58">
        <f t="shared" si="19"/>
        <v>0</v>
      </c>
      <c r="BJ8" s="58">
        <f t="shared" si="20"/>
        <v>-32224</v>
      </c>
      <c r="BK8" s="58">
        <f t="shared" si="20"/>
        <v>0</v>
      </c>
      <c r="BL8" s="58">
        <f t="shared" si="20"/>
        <v>-32392</v>
      </c>
      <c r="BP8" t="s">
        <v>579</v>
      </c>
    </row>
    <row r="9" spans="1:68" ht="16" collapsed="1" thickBot="1">
      <c r="A9" s="26" t="s">
        <v>240</v>
      </c>
      <c r="B9" s="26" t="s">
        <v>73</v>
      </c>
      <c r="C9" s="26">
        <v>250294582</v>
      </c>
      <c r="D9" s="27">
        <v>10</v>
      </c>
      <c r="E9" s="27">
        <v>32</v>
      </c>
      <c r="F9" s="27">
        <v>30</v>
      </c>
      <c r="H9" s="35">
        <f t="shared" si="0"/>
        <v>2.806957431611672E-2</v>
      </c>
      <c r="I9" s="28">
        <f t="shared" si="1"/>
        <v>355.67415749999998</v>
      </c>
      <c r="J9" s="29">
        <f t="shared" si="2"/>
        <v>1.5157570130703029</v>
      </c>
      <c r="K9" s="29">
        <f t="shared" si="3"/>
        <v>0.15217464036037345</v>
      </c>
      <c r="L9" s="29">
        <f t="shared" si="4"/>
        <v>0.14248046328066341</v>
      </c>
      <c r="M9" s="29">
        <f t="shared" si="5"/>
        <v>1.3635823727099294</v>
      </c>
      <c r="N9" s="26">
        <f t="shared" si="6"/>
        <v>38088488</v>
      </c>
      <c r="O9" s="29">
        <v>16</v>
      </c>
      <c r="P9" s="30">
        <v>25312408</v>
      </c>
      <c r="Q9" s="31">
        <v>379385768</v>
      </c>
      <c r="R9" s="31">
        <v>35662088</v>
      </c>
      <c r="S9" s="31">
        <v>2426400</v>
      </c>
      <c r="T9" s="31">
        <v>341297280</v>
      </c>
      <c r="U9" s="32"/>
      <c r="V9" s="32"/>
      <c r="W9" s="32"/>
      <c r="X9" s="32"/>
      <c r="Y9" s="32"/>
      <c r="Z9" s="33">
        <v>1437.54</v>
      </c>
      <c r="AA9" s="33">
        <v>4816.63</v>
      </c>
      <c r="AB9" s="33">
        <v>5.9980000000000002</v>
      </c>
      <c r="AC9" s="33">
        <v>29.478000000000002</v>
      </c>
      <c r="AE9" s="35">
        <f t="shared" si="7"/>
        <v>2.806957431611672E-2</v>
      </c>
      <c r="AF9" s="28">
        <f t="shared" si="8"/>
        <v>355.65420749999998</v>
      </c>
      <c r="AG9" s="29">
        <f t="shared" si="9"/>
        <v>1.5156719932515359</v>
      </c>
      <c r="AH9" s="29">
        <f t="shared" si="10"/>
        <v>0.15208894933251091</v>
      </c>
      <c r="AI9" s="29">
        <f t="shared" si="11"/>
        <v>0.14248046328066341</v>
      </c>
      <c r="AJ9" s="29">
        <f t="shared" si="12"/>
        <v>1.3635823727099294</v>
      </c>
      <c r="AK9" s="26">
        <f t="shared" si="13"/>
        <v>38067040</v>
      </c>
      <c r="AL9" s="29">
        <v>16</v>
      </c>
      <c r="AM9" s="30">
        <v>25312408</v>
      </c>
      <c r="AN9" s="31">
        <v>379364488</v>
      </c>
      <c r="AO9" s="31">
        <v>35662088</v>
      </c>
      <c r="AP9" s="31">
        <v>2404952</v>
      </c>
      <c r="AQ9" s="31">
        <v>341297280</v>
      </c>
      <c r="AR9" s="32"/>
      <c r="AS9" s="32"/>
      <c r="AT9" s="32"/>
      <c r="AU9" s="32"/>
      <c r="AV9" s="32"/>
      <c r="AW9" s="33">
        <v>1452.83</v>
      </c>
      <c r="AX9" s="33">
        <v>4624.66</v>
      </c>
      <c r="AY9" s="33">
        <v>6.008</v>
      </c>
      <c r="AZ9" s="33">
        <v>29.763999999999999</v>
      </c>
      <c r="BB9" s="34">
        <f t="shared" si="14"/>
        <v>0.99994390933504917</v>
      </c>
      <c r="BC9" s="34">
        <f t="shared" si="15"/>
        <v>0.99943689022257842</v>
      </c>
      <c r="BD9" s="34">
        <f t="shared" si="16"/>
        <v>1</v>
      </c>
      <c r="BE9" s="34">
        <f t="shared" si="17"/>
        <v>1</v>
      </c>
      <c r="BF9" s="35">
        <f t="shared" si="18"/>
        <v>-5.0905111026386396E-5</v>
      </c>
      <c r="BG9" s="35">
        <f t="array" ref="BG9">AVERAGE(AK9:AK9/AN9:AN9) - AVERAGE(N9:N9/Q9:Q9)</f>
        <v>-5.0905111026386396E-5</v>
      </c>
      <c r="BI9" s="58">
        <f t="shared" si="19"/>
        <v>0</v>
      </c>
      <c r="BJ9" s="58">
        <f t="shared" si="20"/>
        <v>-21280</v>
      </c>
      <c r="BK9" s="58">
        <f t="shared" si="20"/>
        <v>0</v>
      </c>
      <c r="BL9" s="58">
        <f t="shared" si="20"/>
        <v>-21448</v>
      </c>
      <c r="BP9" t="s">
        <v>239</v>
      </c>
    </row>
    <row r="10" spans="1:68" collapsed="1">
      <c r="A10" s="17" t="s">
        <v>242</v>
      </c>
      <c r="B10" s="17" t="s">
        <v>77</v>
      </c>
      <c r="C10" s="17">
        <v>375422539</v>
      </c>
      <c r="D10" s="18">
        <v>11</v>
      </c>
      <c r="E10" s="18">
        <v>32</v>
      </c>
      <c r="F10" s="18">
        <v>30</v>
      </c>
      <c r="H10" s="25">
        <f t="shared" si="0"/>
        <v>4.2522266899667344E-2</v>
      </c>
      <c r="I10" s="19">
        <f t="shared" si="1"/>
        <v>853.06649249999998</v>
      </c>
      <c r="J10" s="20">
        <f t="shared" si="2"/>
        <v>2.4237692132810387</v>
      </c>
      <c r="K10" s="20">
        <f t="shared" si="3"/>
        <v>0.27554130414103878</v>
      </c>
      <c r="L10" s="20">
        <f t="shared" si="4"/>
        <v>0.26326304292561403</v>
      </c>
      <c r="M10" s="20">
        <f t="shared" si="5"/>
        <v>2.1482279091399996</v>
      </c>
      <c r="N10" s="17">
        <f t="shared" si="6"/>
        <v>103444416</v>
      </c>
      <c r="O10" s="20">
        <v>16</v>
      </c>
      <c r="P10" s="21">
        <v>92854683</v>
      </c>
      <c r="Q10" s="22">
        <v>909937592</v>
      </c>
      <c r="R10" s="22">
        <v>98834880</v>
      </c>
      <c r="S10" s="22">
        <v>4609536</v>
      </c>
      <c r="T10" s="22">
        <v>806493176</v>
      </c>
      <c r="U10" s="23"/>
      <c r="V10" s="23"/>
      <c r="W10" s="23"/>
      <c r="X10" s="23"/>
      <c r="Y10" s="23"/>
      <c r="Z10" s="24">
        <v>3624.26</v>
      </c>
      <c r="AA10" s="24">
        <v>15288.9</v>
      </c>
      <c r="AB10" s="24">
        <v>22.541</v>
      </c>
      <c r="AC10" s="24">
        <v>86.709000000000003</v>
      </c>
      <c r="AE10" s="25">
        <f t="shared" si="7"/>
        <v>4.2522266899667344E-2</v>
      </c>
      <c r="AF10" s="19">
        <f t="shared" si="8"/>
        <v>853.04318249999994</v>
      </c>
      <c r="AG10" s="20">
        <f t="shared" si="9"/>
        <v>2.4237029839063551</v>
      </c>
      <c r="AH10" s="20">
        <f t="shared" si="10"/>
        <v>0.27547462727058059</v>
      </c>
      <c r="AI10" s="20">
        <f t="shared" si="11"/>
        <v>0.26326304292561403</v>
      </c>
      <c r="AJ10" s="20">
        <f t="shared" si="12"/>
        <v>2.1482279091399996</v>
      </c>
      <c r="AK10" s="17">
        <f t="shared" si="13"/>
        <v>103419384</v>
      </c>
      <c r="AL10" s="20">
        <v>16</v>
      </c>
      <c r="AM10" s="21">
        <v>92854683</v>
      </c>
      <c r="AN10" s="22">
        <v>909912728</v>
      </c>
      <c r="AO10" s="22">
        <v>98834880</v>
      </c>
      <c r="AP10" s="22">
        <v>4584504</v>
      </c>
      <c r="AQ10" s="22">
        <v>806493176</v>
      </c>
      <c r="AR10" s="23"/>
      <c r="AS10" s="23"/>
      <c r="AT10" s="23"/>
      <c r="AU10" s="23"/>
      <c r="AV10" s="23"/>
      <c r="AW10" s="24">
        <v>3302.76</v>
      </c>
      <c r="AX10" s="24">
        <v>13761.7</v>
      </c>
      <c r="AY10" s="24">
        <v>19.298999999999999</v>
      </c>
      <c r="AZ10" s="24">
        <v>78.688999999999993</v>
      </c>
      <c r="BB10" s="49">
        <f t="shared" si="14"/>
        <v>0.99997267504912568</v>
      </c>
      <c r="BC10" s="49">
        <f t="shared" si="15"/>
        <v>0.99975801497105465</v>
      </c>
      <c r="BD10" s="49">
        <f t="shared" si="16"/>
        <v>1</v>
      </c>
      <c r="BE10" s="49">
        <f t="shared" si="17"/>
        <v>1</v>
      </c>
      <c r="BF10" s="25">
        <f t="shared" si="18"/>
        <v>-2.4403863943520121E-5</v>
      </c>
      <c r="BG10" s="25">
        <f t="array" ref="BG10">AVERAGE(AK10:AK10/AN10:AN10) - AVERAGE(N10:N10/Q10:Q10)</f>
        <v>-2.4403863943520121E-5</v>
      </c>
      <c r="BI10" s="58">
        <f t="shared" si="19"/>
        <v>0</v>
      </c>
      <c r="BJ10" s="58">
        <f t="shared" si="20"/>
        <v>-24864</v>
      </c>
      <c r="BK10" s="58">
        <f t="shared" si="20"/>
        <v>0</v>
      </c>
      <c r="BL10" s="58">
        <f t="shared" si="20"/>
        <v>-25032</v>
      </c>
      <c r="BP10" t="s">
        <v>580</v>
      </c>
    </row>
    <row r="11" spans="1:68" ht="16" collapsed="1" thickBot="1">
      <c r="A11" s="26"/>
      <c r="B11" s="26" t="s">
        <v>82</v>
      </c>
      <c r="C11" s="26">
        <v>333190689</v>
      </c>
      <c r="D11" s="27">
        <v>11</v>
      </c>
      <c r="E11" s="27">
        <v>32</v>
      </c>
      <c r="F11" s="27">
        <v>30</v>
      </c>
      <c r="H11" s="35">
        <f t="shared" si="0"/>
        <v>4.3720117280948385E-2</v>
      </c>
      <c r="I11" s="28">
        <f t="shared" si="1"/>
        <v>778.43133</v>
      </c>
      <c r="J11" s="29">
        <f t="shared" si="2"/>
        <v>2.4920466850140581</v>
      </c>
      <c r="K11" s="29">
        <f t="shared" si="3"/>
        <v>0.29577734088481689</v>
      </c>
      <c r="L11" s="29">
        <f t="shared" si="4"/>
        <v>0.28138445369342241</v>
      </c>
      <c r="M11" s="29">
        <f t="shared" si="5"/>
        <v>2.1962693441292411</v>
      </c>
      <c r="N11" s="26">
        <f t="shared" si="6"/>
        <v>98550256</v>
      </c>
      <c r="O11" s="29">
        <v>16</v>
      </c>
      <c r="P11" s="30">
        <v>83104648</v>
      </c>
      <c r="Q11" s="31">
        <v>830326752</v>
      </c>
      <c r="R11" s="31">
        <v>93754680</v>
      </c>
      <c r="S11" s="31">
        <v>4795576</v>
      </c>
      <c r="T11" s="31">
        <v>731776496</v>
      </c>
      <c r="U11" s="32"/>
      <c r="V11" s="32"/>
      <c r="W11" s="32"/>
      <c r="X11" s="32"/>
      <c r="Y11" s="32"/>
      <c r="Z11" s="33">
        <v>2977.45</v>
      </c>
      <c r="AA11" s="33">
        <v>15606.4</v>
      </c>
      <c r="AB11" s="33">
        <v>22.471</v>
      </c>
      <c r="AC11" s="33">
        <v>101.247</v>
      </c>
      <c r="AE11" s="35">
        <f t="shared" si="7"/>
        <v>4.3720117280948385E-2</v>
      </c>
      <c r="AF11" s="28">
        <f t="shared" si="8"/>
        <v>778.4055525</v>
      </c>
      <c r="AG11" s="29">
        <f t="shared" si="9"/>
        <v>2.4919641616996087</v>
      </c>
      <c r="AH11" s="29">
        <f t="shared" si="10"/>
        <v>0.29569431335459678</v>
      </c>
      <c r="AI11" s="29">
        <f t="shared" si="11"/>
        <v>0.28138445369342241</v>
      </c>
      <c r="AJ11" s="29">
        <f t="shared" si="12"/>
        <v>2.1962693441292411</v>
      </c>
      <c r="AK11" s="26">
        <f t="shared" si="13"/>
        <v>98522592</v>
      </c>
      <c r="AL11" s="29">
        <v>16</v>
      </c>
      <c r="AM11" s="30">
        <v>83104648</v>
      </c>
      <c r="AN11" s="31">
        <v>830299256</v>
      </c>
      <c r="AO11" s="31">
        <v>93754680</v>
      </c>
      <c r="AP11" s="31">
        <v>4767912</v>
      </c>
      <c r="AQ11" s="31">
        <v>731776496</v>
      </c>
      <c r="AR11" s="32"/>
      <c r="AS11" s="32"/>
      <c r="AT11" s="32"/>
      <c r="AU11" s="32"/>
      <c r="AV11" s="32"/>
      <c r="AW11" s="33">
        <v>3040.56</v>
      </c>
      <c r="AX11" s="33">
        <v>15821.4</v>
      </c>
      <c r="AY11" s="33">
        <v>24.085999999999999</v>
      </c>
      <c r="AZ11" s="33">
        <v>107.80200000000001</v>
      </c>
      <c r="BB11" s="34">
        <f t="shared" si="14"/>
        <v>0.99996688532564593</v>
      </c>
      <c r="BC11" s="34">
        <f t="shared" si="15"/>
        <v>0.99971929042984931</v>
      </c>
      <c r="BD11" s="34">
        <f t="shared" si="16"/>
        <v>1</v>
      </c>
      <c r="BE11" s="34">
        <f t="shared" si="17"/>
        <v>1</v>
      </c>
      <c r="BF11" s="35">
        <f t="shared" si="18"/>
        <v>-2.9387645705716836E-5</v>
      </c>
      <c r="BG11" s="35">
        <f t="array" ref="BG11">AVERAGE(AK11:AK11/AN11:AN11) - AVERAGE(N11:N11/Q11:Q11)</f>
        <v>-2.9387645705716836E-5</v>
      </c>
      <c r="BI11" s="58">
        <f t="shared" si="19"/>
        <v>0</v>
      </c>
      <c r="BJ11" s="58">
        <f t="shared" si="20"/>
        <v>-27496</v>
      </c>
      <c r="BK11" s="58">
        <f t="shared" si="20"/>
        <v>0</v>
      </c>
      <c r="BL11" s="58">
        <f t="shared" si="20"/>
        <v>-27664</v>
      </c>
      <c r="BP11" t="s">
        <v>581</v>
      </c>
    </row>
    <row r="12" spans="1:68" ht="16">
      <c r="B12" s="46" t="s">
        <v>16</v>
      </c>
      <c r="J12" s="47">
        <f>AVERAGE(J5:J8)</f>
        <v>1.0934570571208007</v>
      </c>
      <c r="K12" s="47">
        <f>AVERAGE(K5:K8)</f>
        <v>0.16495400571492314</v>
      </c>
      <c r="L12" s="47">
        <f>AVERAGE(L5:L8)</f>
        <v>0.15052109274881903</v>
      </c>
      <c r="M12" s="47">
        <f>AVERAGE(M5:M8)</f>
        <v>0.92850305140587752</v>
      </c>
      <c r="AG12" s="47">
        <f>AVERAGE(AG5:AG8)</f>
        <v>1.0933475286869787</v>
      </c>
      <c r="AH12" s="47">
        <f>AVERAGE(AH5:AH8)</f>
        <v>0.16484381057335462</v>
      </c>
      <c r="AI12" s="47">
        <f>AVERAGE(AI5:AI8)</f>
        <v>0.15052109274881903</v>
      </c>
      <c r="AJ12" s="47">
        <f>AVERAGE(AJ5:AJ8)</f>
        <v>0.92850305140587752</v>
      </c>
      <c r="BB12" s="51">
        <f t="shared" si="14"/>
        <v>0.99989983288954176</v>
      </c>
      <c r="BC12" s="51">
        <f t="shared" si="15"/>
        <v>0.99933196444008188</v>
      </c>
      <c r="BD12" s="51">
        <f t="shared" si="16"/>
        <v>1</v>
      </c>
      <c r="BE12" s="51">
        <f t="shared" si="17"/>
        <v>1</v>
      </c>
      <c r="BG12" s="55">
        <f>AVERAGE(BG5:BG8)</f>
        <v>-8.4158701842279582E-5</v>
      </c>
    </row>
    <row r="13" spans="1:68" ht="16">
      <c r="B13" s="46" t="s">
        <v>17</v>
      </c>
      <c r="J13" s="47">
        <f>AVERAGE(J9:J9)</f>
        <v>1.5157570130703029</v>
      </c>
      <c r="K13" s="47">
        <f>AVERAGE(K9:K9)</f>
        <v>0.15217464036037345</v>
      </c>
      <c r="L13" s="47">
        <f>AVERAGE(L9:L9)</f>
        <v>0.14248046328066341</v>
      </c>
      <c r="M13" s="47">
        <f>AVERAGE(M9:M9)</f>
        <v>1.3635823727099294</v>
      </c>
      <c r="AG13" s="47">
        <f>AVERAGE(AG9:AG9)</f>
        <v>1.5156719932515359</v>
      </c>
      <c r="AH13" s="47">
        <f>AVERAGE(AH9:AH9)</f>
        <v>0.15208894933251091</v>
      </c>
      <c r="AI13" s="47">
        <f>AVERAGE(AI9:AI9)</f>
        <v>0.14248046328066341</v>
      </c>
      <c r="AJ13" s="47">
        <f>AVERAGE(AJ9:AJ9)</f>
        <v>1.3635823727099294</v>
      </c>
      <c r="BB13" s="51">
        <f t="shared" si="14"/>
        <v>0.99994390933504917</v>
      </c>
      <c r="BC13" s="51">
        <f t="shared" si="15"/>
        <v>0.99943689022257842</v>
      </c>
      <c r="BD13" s="51">
        <f t="shared" si="16"/>
        <v>1</v>
      </c>
      <c r="BE13" s="51">
        <f t="shared" si="17"/>
        <v>1</v>
      </c>
      <c r="BG13" s="55">
        <f>AVERAGE(BG9:BG9)</f>
        <v>-5.0905111026386396E-5</v>
      </c>
    </row>
    <row r="14" spans="1:68" ht="16">
      <c r="B14" s="46" t="s">
        <v>18</v>
      </c>
      <c r="J14" s="47">
        <f>AVERAGE(J10:J11)</f>
        <v>2.4579079491475486</v>
      </c>
      <c r="K14" s="47">
        <f>AVERAGE(K10:K11)</f>
        <v>0.2856593225129278</v>
      </c>
      <c r="L14" s="47">
        <f>AVERAGE(L10:L11)</f>
        <v>0.27232374830951822</v>
      </c>
      <c r="M14" s="47">
        <f>AVERAGE(M10:M11)</f>
        <v>2.1722486266346204</v>
      </c>
      <c r="AG14" s="47">
        <f>AVERAGE(AG10:AG11)</f>
        <v>2.4578335728029819</v>
      </c>
      <c r="AH14" s="47">
        <f>AVERAGE(AH10:AH11)</f>
        <v>0.28558447031258871</v>
      </c>
      <c r="AI14" s="47">
        <f>AVERAGE(AI10:AI11)</f>
        <v>0.27232374830951822</v>
      </c>
      <c r="AJ14" s="47">
        <f>AVERAGE(AJ10:AJ11)</f>
        <v>2.1722486266346204</v>
      </c>
      <c r="BB14" s="51">
        <f t="shared" si="14"/>
        <v>0.99996973997964711</v>
      </c>
      <c r="BC14" s="51">
        <f t="shared" si="15"/>
        <v>0.99973796689118832</v>
      </c>
      <c r="BD14" s="51">
        <f t="shared" si="16"/>
        <v>1</v>
      </c>
      <c r="BE14" s="51">
        <f t="shared" si="17"/>
        <v>1</v>
      </c>
      <c r="BG14" s="55">
        <f>AVERAGE(BG10:BG11)</f>
        <v>-2.6895754824618479E-5</v>
      </c>
    </row>
    <row r="15" spans="1:68" ht="16">
      <c r="B15" s="46" t="s">
        <v>19</v>
      </c>
      <c r="J15" s="47">
        <f>AVERAGE(J5:J11)</f>
        <v>1.543628734264086</v>
      </c>
      <c r="K15" s="47">
        <f>AVERAGE(K5:K11)</f>
        <v>0.19761561546370313</v>
      </c>
      <c r="L15" s="47">
        <f>AVERAGE(L5:L11)</f>
        <v>0.18417319012785374</v>
      </c>
      <c r="M15" s="47">
        <f>AVERAGE(M5:M11)</f>
        <v>1.3460131188003828</v>
      </c>
      <c r="AG15" s="47">
        <f>AVERAGE(AG5:AG11)</f>
        <v>1.5435327505150593</v>
      </c>
      <c r="AH15" s="47">
        <f>AVERAGE(AH5:AH11)</f>
        <v>0.19751901889301529</v>
      </c>
      <c r="AI15" s="47">
        <f>AVERAGE(AI5:AI11)</f>
        <v>0.18417319012785374</v>
      </c>
      <c r="AJ15" s="47">
        <f>AVERAGE(AJ5:AJ11)</f>
        <v>1.3460131188003828</v>
      </c>
      <c r="BB15" s="51">
        <f t="shared" si="14"/>
        <v>0.9999378194076749</v>
      </c>
      <c r="BC15" s="51">
        <f t="shared" si="15"/>
        <v>0.99951118958660645</v>
      </c>
      <c r="BD15" s="51">
        <f t="shared" si="16"/>
        <v>1</v>
      </c>
      <c r="BE15" s="51">
        <f t="shared" si="17"/>
        <v>1</v>
      </c>
      <c r="BG15" s="55">
        <f>AVERAGE(BG5:BG11)</f>
        <v>-6.3047346863534526E-5</v>
      </c>
    </row>
    <row r="16" spans="1:68" ht="16" hidden="1" outlineLevel="2">
      <c r="A16" s="46" t="s">
        <v>245</v>
      </c>
      <c r="B16" s="46" t="s">
        <v>246</v>
      </c>
      <c r="Z16" s="48">
        <f>SUM(Z5:Z8,Z9:Z9,Z10:Z11)</f>
        <v>25645.650000000005</v>
      </c>
      <c r="AA16" s="48">
        <f>SUM(AA5:AA8,AA9:AA9,AA10:AA11)</f>
        <v>56314.29</v>
      </c>
      <c r="AB16" s="48">
        <f>SUM(AB5:AB8,AB9:AB9,AB10:AB11)</f>
        <v>78.834000000000003</v>
      </c>
      <c r="AC16" s="48">
        <f>SUM(AC5:AC8,AC9:AC9,AC10:AC11)</f>
        <v>340.27199999999999</v>
      </c>
      <c r="AW16" s="48">
        <f>SUM(AW5:AW8,AW9:AW9,AW10:AW11)</f>
        <v>25901.510000000006</v>
      </c>
      <c r="AX16" s="48">
        <f>SUM(AX5:AX8,AX9:AX9,AX10:AX11)</f>
        <v>54289.850000000006</v>
      </c>
      <c r="AY16" s="48">
        <f>SUM(AY5:AY8,AY9:AY9,AY10:AY11)</f>
        <v>76.978999999999999</v>
      </c>
      <c r="AZ16" s="48">
        <f>SUM(AZ5:AZ8,AZ9:AZ9,AZ10:AZ11)</f>
        <v>336.911</v>
      </c>
    </row>
    <row r="17" spans="2:52" ht="16" hidden="1" outlineLevel="2">
      <c r="B17" s="46" t="s">
        <v>247</v>
      </c>
      <c r="AW17" s="55">
        <f>AW16/Z16</f>
        <v>1.0099767406948157</v>
      </c>
      <c r="AX17" s="55">
        <f>AX16/AA16</f>
        <v>0.9640510428170187</v>
      </c>
      <c r="AY17" s="55">
        <f>AY16/AB16</f>
        <v>0.97646954359793992</v>
      </c>
      <c r="AZ17" s="55">
        <f>AZ16/AC16</f>
        <v>0.99012260779611605</v>
      </c>
    </row>
    <row r="18" spans="2:52" ht="16" hidden="1" outlineLevel="2">
      <c r="B18" s="46" t="s">
        <v>248</v>
      </c>
      <c r="Z18" s="48">
        <f>GEOMEAN(Z5:Z8,Z9:Z9,Z10:Z11)</f>
        <v>3415.5455592920471</v>
      </c>
      <c r="AA18" s="48">
        <f>GEOMEAN(AA5:AA8,AA9:AA9,AA10:AA11)</f>
        <v>6882.8673268817402</v>
      </c>
      <c r="AB18" s="48">
        <f>GEOMEAN(AB5:AB8,AB9:AB9,AB10:AB11)</f>
        <v>9.3821345001360239</v>
      </c>
      <c r="AC18" s="48">
        <f>GEOMEAN(AC5:AC8,AC9:AC9,AC10:AC11)</f>
        <v>41.658094977643927</v>
      </c>
      <c r="AW18" s="48">
        <f>GEOMEAN(AW5:AW8,AW9:AW9,AW10:AW11)</f>
        <v>3451.6980586159898</v>
      </c>
      <c r="AX18" s="48">
        <f>GEOMEAN(AX5:AX8,AX9:AX9,AX10:AX11)</f>
        <v>6729.1656880525852</v>
      </c>
      <c r="AY18" s="48">
        <f>GEOMEAN(AY5:AY8,AY9:AY9,AY10:AY11)</f>
        <v>9.2871653483792418</v>
      </c>
      <c r="AZ18" s="48">
        <f>GEOMEAN(AZ5:AZ8,AZ9:AZ9,AZ10:AZ11)</f>
        <v>41.305827691394356</v>
      </c>
    </row>
    <row r="19" spans="2:52" ht="16" outlineLevel="2" collapsed="1">
      <c r="B19" s="46" t="s">
        <v>249</v>
      </c>
      <c r="AW19" s="55">
        <f>AW18/Z18</f>
        <v>1.0105846924587463</v>
      </c>
      <c r="AX19" s="55">
        <f>AX18/AA18</f>
        <v>0.97766895226516171</v>
      </c>
      <c r="AY19" s="55">
        <f>AY18/AB18</f>
        <v>0.98987766038150427</v>
      </c>
      <c r="AZ19" s="55">
        <f>AZ18/AC18</f>
        <v>0.99154384552537467</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phoneticPr fontId="2"/>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0" zoomScaleNormal="80" workbookViewId="0">
      <pane xSplit="2" ySplit="4" topLeftCell="H5" activePane="bottomRight" state="frozen"/>
      <selection pane="topRight" activeCell="C1" sqref="C1"/>
      <selection pane="bottomLeft" activeCell="A5" sqref="A5"/>
      <selection pane="bottomRight" activeCell="U2" sqref="U2:V2"/>
    </sheetView>
  </sheetViews>
  <sheetFormatPr baseColWidth="10" defaultColWidth="8.83203125" defaultRowHeight="15" outlineLevelRow="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c r="A1" s="76" t="s">
        <v>582</v>
      </c>
      <c r="B1" s="62"/>
      <c r="C1" s="62"/>
      <c r="D1" s="62"/>
      <c r="E1" s="62"/>
      <c r="F1" s="62"/>
      <c r="H1" s="61" t="s">
        <v>590</v>
      </c>
      <c r="I1" s="62"/>
      <c r="J1" s="62"/>
      <c r="K1" s="62"/>
      <c r="L1" s="62"/>
      <c r="M1" s="62"/>
      <c r="N1" s="62"/>
      <c r="O1" s="62"/>
      <c r="P1" s="62"/>
      <c r="Q1" s="62"/>
      <c r="R1" s="62"/>
      <c r="S1" s="62"/>
      <c r="T1" s="62"/>
      <c r="U1" s="62"/>
      <c r="V1" s="62"/>
      <c r="W1" s="62"/>
      <c r="X1" s="62"/>
      <c r="Y1" s="62"/>
      <c r="Z1" s="62"/>
      <c r="AA1" s="62"/>
      <c r="AB1" s="62"/>
      <c r="AC1" s="62"/>
      <c r="AE1" s="63"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c r="A2" s="72" t="s">
        <v>139</v>
      </c>
      <c r="B2" s="73" t="s">
        <v>140</v>
      </c>
      <c r="C2" s="72" t="s">
        <v>142</v>
      </c>
      <c r="D2" s="73" t="s">
        <v>143</v>
      </c>
      <c r="E2" s="72" t="s">
        <v>144</v>
      </c>
      <c r="F2" s="73" t="s">
        <v>145</v>
      </c>
      <c r="H2" s="72" t="s">
        <v>573</v>
      </c>
      <c r="I2" s="73" t="s">
        <v>146</v>
      </c>
      <c r="J2" s="74" t="s">
        <v>147</v>
      </c>
      <c r="K2" s="62"/>
      <c r="L2" s="62"/>
      <c r="M2" s="62"/>
      <c r="N2" s="72" t="s">
        <v>148</v>
      </c>
      <c r="O2" s="73" t="s">
        <v>149</v>
      </c>
      <c r="P2" s="72" t="s">
        <v>86</v>
      </c>
      <c r="Q2" s="75" t="s">
        <v>150</v>
      </c>
      <c r="R2" s="62"/>
      <c r="S2" s="62"/>
      <c r="T2" s="62"/>
      <c r="U2" s="74" t="s">
        <v>151</v>
      </c>
      <c r="V2" s="62"/>
      <c r="W2" s="75" t="s">
        <v>152</v>
      </c>
      <c r="X2" s="62"/>
      <c r="Y2" s="62"/>
      <c r="Z2" s="74" t="s">
        <v>153</v>
      </c>
      <c r="AA2" s="62"/>
      <c r="AB2" s="75" t="s">
        <v>154</v>
      </c>
      <c r="AC2" s="62"/>
      <c r="AE2" s="72" t="s">
        <v>573</v>
      </c>
      <c r="AF2" s="73" t="s">
        <v>146</v>
      </c>
      <c r="AG2" s="74" t="s">
        <v>147</v>
      </c>
      <c r="AH2" s="62"/>
      <c r="AI2" s="62"/>
      <c r="AJ2" s="62"/>
      <c r="AK2" s="72" t="s">
        <v>155</v>
      </c>
      <c r="AL2" s="73" t="s">
        <v>149</v>
      </c>
      <c r="AM2" s="72" t="s">
        <v>86</v>
      </c>
      <c r="AN2" s="75" t="s">
        <v>150</v>
      </c>
      <c r="AO2" s="62"/>
      <c r="AP2" s="62"/>
      <c r="AQ2" s="62"/>
      <c r="AR2" s="74" t="s">
        <v>151</v>
      </c>
      <c r="AS2" s="62"/>
      <c r="AT2" s="75" t="s">
        <v>152</v>
      </c>
      <c r="AU2" s="62"/>
      <c r="AV2" s="62"/>
      <c r="AW2" s="74" t="s">
        <v>153</v>
      </c>
      <c r="AX2" s="62"/>
      <c r="AY2" s="75" t="s">
        <v>154</v>
      </c>
      <c r="AZ2" s="62"/>
      <c r="BB2" s="74" t="s">
        <v>24</v>
      </c>
      <c r="BC2" s="62"/>
      <c r="BD2" s="62"/>
      <c r="BE2" s="62"/>
      <c r="BF2" s="73" t="s">
        <v>158</v>
      </c>
      <c r="BG2" s="72" t="s">
        <v>158</v>
      </c>
    </row>
    <row r="3" spans="1:68" ht="29" customHeight="1">
      <c r="A3" s="65"/>
      <c r="B3" s="65"/>
      <c r="C3" s="65"/>
      <c r="D3" s="65"/>
      <c r="E3" s="65"/>
      <c r="F3" s="65"/>
      <c r="H3" s="65"/>
      <c r="I3" s="65"/>
      <c r="J3" s="56" t="s">
        <v>27</v>
      </c>
      <c r="K3" s="56" t="s">
        <v>25</v>
      </c>
      <c r="L3" s="56" t="s">
        <v>159</v>
      </c>
      <c r="M3" s="56" t="s">
        <v>160</v>
      </c>
      <c r="N3" s="65"/>
      <c r="O3" s="65"/>
      <c r="P3" s="65"/>
      <c r="Q3" s="57" t="s">
        <v>27</v>
      </c>
      <c r="R3" s="57" t="s">
        <v>159</v>
      </c>
      <c r="S3" s="57" t="s">
        <v>161</v>
      </c>
      <c r="T3" s="57" t="s">
        <v>26</v>
      </c>
      <c r="U3" s="56" t="s">
        <v>11</v>
      </c>
      <c r="V3" s="56" t="s">
        <v>12</v>
      </c>
      <c r="W3" s="57" t="s">
        <v>13</v>
      </c>
      <c r="X3" s="57" t="s">
        <v>14</v>
      </c>
      <c r="Y3" s="57" t="s">
        <v>15</v>
      </c>
      <c r="Z3" s="56" t="s">
        <v>162</v>
      </c>
      <c r="AA3" s="56" t="s">
        <v>163</v>
      </c>
      <c r="AB3" s="57" t="s">
        <v>162</v>
      </c>
      <c r="AC3" s="57" t="s">
        <v>163</v>
      </c>
      <c r="AE3" s="65"/>
      <c r="AF3" s="65"/>
      <c r="AG3" s="56" t="s">
        <v>27</v>
      </c>
      <c r="AH3" s="56" t="s">
        <v>25</v>
      </c>
      <c r="AI3" s="56" t="s">
        <v>159</v>
      </c>
      <c r="AJ3" s="56" t="s">
        <v>160</v>
      </c>
      <c r="AK3" s="65"/>
      <c r="AL3" s="65"/>
      <c r="AM3" s="65"/>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5"/>
      <c r="BG3" s="65"/>
    </row>
    <row r="4" spans="1:68" ht="123" hidden="1" customHeight="1">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c r="A5" s="52" t="s">
        <v>231</v>
      </c>
      <c r="B5" s="52" t="s">
        <v>51</v>
      </c>
      <c r="C5" s="52">
        <v>238146391</v>
      </c>
      <c r="D5" s="9">
        <v>10</v>
      </c>
      <c r="E5" s="9">
        <v>32</v>
      </c>
      <c r="F5" s="9">
        <v>30</v>
      </c>
      <c r="H5" s="16">
        <f t="shared" ref="H5:H11" si="0">IF(ISBLANK(Q5),"·",Q5/(C5*(D5*3+IF(AND(ISNUMBER(T5),T5&gt;0),24,0))))</f>
        <v>1.7169925753155135E-2</v>
      </c>
      <c r="I5" s="10">
        <f t="shared" ref="I5:I11" si="1">IF(OR(ISBLANK(Q5),ISBLANK(F5)),"·",Q5*F5/E5/1000000)</f>
        <v>207.00339</v>
      </c>
      <c r="J5" s="11">
        <f t="shared" ref="J5:J11" si="2">IF(ISBLANK(Q5),"·",Q5/C5)</f>
        <v>0.92717599067037715</v>
      </c>
      <c r="K5" s="11">
        <f t="shared" ref="K5:K11" si="3">IF(N5="","·",N5/C5)</f>
        <v>0.14308640940101419</v>
      </c>
      <c r="L5" s="11">
        <f t="shared" ref="L5:L11" si="4">IF(R5="","·",R5/C5)</f>
        <v>0.13400974025258269</v>
      </c>
      <c r="M5" s="11">
        <f t="shared" ref="M5:M11" si="5">IF(ISBLANK(T5),"·",T5/C5)</f>
        <v>0.78408958126936301</v>
      </c>
      <c r="N5" s="52">
        <f t="shared" ref="N5:N11" si="6">IF(OR(ISBLANK(R5),ISBLANK(S5)),"",R5+S5)</f>
        <v>34075512</v>
      </c>
      <c r="O5" s="11">
        <v>16</v>
      </c>
      <c r="P5" s="12">
        <v>24964341</v>
      </c>
      <c r="Q5" s="13">
        <v>220803616</v>
      </c>
      <c r="R5" s="13">
        <v>31913936</v>
      </c>
      <c r="S5" s="13">
        <v>2161576</v>
      </c>
      <c r="T5" s="13">
        <v>186728104</v>
      </c>
      <c r="U5" s="14"/>
      <c r="V5" s="14"/>
      <c r="W5" s="14"/>
      <c r="X5" s="14"/>
      <c r="Y5" s="14"/>
      <c r="Z5" s="15">
        <v>3405.69</v>
      </c>
      <c r="AA5" s="15">
        <v>5190.01</v>
      </c>
      <c r="AB5" s="15">
        <v>6.2770000000000001</v>
      </c>
      <c r="AC5" s="15">
        <v>26.064</v>
      </c>
      <c r="AE5" s="16">
        <f t="shared" ref="AE5:AE11" si="7">IF(ISBLANK(Q5),"·",Q5/(C5*(D5*3+IF(AND(ISNUMBER(T5),T5&gt;0),24,0))))</f>
        <v>1.7169925753155135E-2</v>
      </c>
      <c r="AF5" s="10">
        <f t="shared" ref="AF5:AF11" si="8">IF(OR(ISBLANK(AN5),ISBLANK(F5)),"·",AN5*F5/E5/1000000)</f>
        <v>206.99234250000001</v>
      </c>
      <c r="AG5" s="11">
        <f t="shared" ref="AG5:AG11" si="9">IF(ISBLANK(AN5),"·",AN5/C5)</f>
        <v>0.92712650850123524</v>
      </c>
      <c r="AH5" s="11">
        <f t="shared" ref="AH5:AH11" si="10">IF(AK5="","·",AK5/C5)</f>
        <v>0.14303622178343237</v>
      </c>
      <c r="AI5" s="11">
        <f t="shared" ref="AI5:AI11" si="11">IF(AO5="","·",AO5/C5)</f>
        <v>0.13400974025258269</v>
      </c>
      <c r="AJ5" s="11">
        <f t="shared" ref="AJ5:AJ11" si="12">IF(ISBLANK(AQ5),"·",AQ5/C5)</f>
        <v>0.78408958126936301</v>
      </c>
      <c r="AK5" s="52">
        <f t="shared" ref="AK5:AK11" si="13">IF(OR(ISBLANK(AO5),ISBLANK(AP5)),"",AO5+AP5)</f>
        <v>34063560</v>
      </c>
      <c r="AL5" s="11">
        <v>16</v>
      </c>
      <c r="AM5" s="12">
        <v>24964341</v>
      </c>
      <c r="AN5" s="13">
        <v>220791832</v>
      </c>
      <c r="AO5" s="13">
        <v>31913936</v>
      </c>
      <c r="AP5" s="13">
        <v>2149624</v>
      </c>
      <c r="AQ5" s="13">
        <v>186728104</v>
      </c>
      <c r="AR5" s="14"/>
      <c r="AS5" s="14"/>
      <c r="AT5" s="14"/>
      <c r="AU5" s="14"/>
      <c r="AV5" s="14"/>
      <c r="AW5" s="15">
        <v>4052.04</v>
      </c>
      <c r="AX5" s="15">
        <v>6403.83</v>
      </c>
      <c r="AY5" s="15">
        <v>7.0049999999999999</v>
      </c>
      <c r="AZ5" s="15">
        <v>33.209000000000003</v>
      </c>
      <c r="BB5" s="50">
        <f t="shared" ref="BB5:BB15" si="14">AG5/J5</f>
        <v>0.99994663130879158</v>
      </c>
      <c r="BC5" s="50">
        <f t="shared" ref="BC5:BC15" si="15">AH5/K5</f>
        <v>0.99964924958427626</v>
      </c>
      <c r="BD5" s="50">
        <f t="shared" ref="BD5:BD15" si="16">AI5/L5</f>
        <v>1</v>
      </c>
      <c r="BE5" s="50">
        <f t="shared" ref="BE5:BE15" si="17">AJ5/M5</f>
        <v>1</v>
      </c>
      <c r="BF5" s="16">
        <f t="shared" ref="BF5:BF11" si="18">(AK5/AN5) - (N5/Q5)</f>
        <v>-4.5895875904977679E-5</v>
      </c>
      <c r="BG5" s="16">
        <f t="array" ref="BG5">AVERAGE(AK5:AK5/AN5:AN5) - AVERAGE(N5:N5/Q5:Q5)</f>
        <v>-4.5895875904977679E-5</v>
      </c>
      <c r="BI5" s="58">
        <f t="shared" ref="BI5:BI11" si="19">AM5-P5</f>
        <v>0</v>
      </c>
      <c r="BJ5" s="58">
        <f t="shared" ref="BJ5:BL11" si="20">AN5-Q5</f>
        <v>-11784</v>
      </c>
      <c r="BK5" s="58">
        <f t="shared" si="20"/>
        <v>0</v>
      </c>
      <c r="BL5" s="58">
        <f t="shared" si="20"/>
        <v>-11952</v>
      </c>
      <c r="BP5" t="s">
        <v>233</v>
      </c>
    </row>
    <row r="6" spans="1:68" collapsed="1">
      <c r="A6" s="17"/>
      <c r="B6" s="17" t="s">
        <v>59</v>
      </c>
      <c r="C6" s="17">
        <v>218121242</v>
      </c>
      <c r="D6" s="18">
        <v>10</v>
      </c>
      <c r="E6" s="18">
        <v>32</v>
      </c>
      <c r="F6" s="18">
        <v>30</v>
      </c>
      <c r="H6" s="25">
        <f t="shared" si="0"/>
        <v>2.4559869933866108E-2</v>
      </c>
      <c r="I6" s="19">
        <f t="shared" si="1"/>
        <v>271.19961000000001</v>
      </c>
      <c r="J6" s="20">
        <f t="shared" si="2"/>
        <v>1.3262329764287699</v>
      </c>
      <c r="K6" s="20">
        <f t="shared" si="3"/>
        <v>0.17676242646738644</v>
      </c>
      <c r="L6" s="20">
        <f t="shared" si="4"/>
        <v>0.16079413301708598</v>
      </c>
      <c r="M6" s="20">
        <f t="shared" si="5"/>
        <v>1.1494705499613833</v>
      </c>
      <c r="N6" s="17">
        <f t="shared" si="6"/>
        <v>38555640</v>
      </c>
      <c r="O6" s="20">
        <v>16</v>
      </c>
      <c r="P6" s="21">
        <v>22654789</v>
      </c>
      <c r="Q6" s="22">
        <v>289279584</v>
      </c>
      <c r="R6" s="22">
        <v>35072616</v>
      </c>
      <c r="S6" s="22">
        <v>3483024</v>
      </c>
      <c r="T6" s="22">
        <v>250723944</v>
      </c>
      <c r="U6" s="23"/>
      <c r="V6" s="23"/>
      <c r="W6" s="23"/>
      <c r="X6" s="23"/>
      <c r="Y6" s="23"/>
      <c r="Z6" s="24">
        <v>3753.65</v>
      </c>
      <c r="AA6" s="24">
        <v>6434.9</v>
      </c>
      <c r="AB6" s="24">
        <v>6.1929999999999996</v>
      </c>
      <c r="AC6" s="24">
        <v>28.992000000000001</v>
      </c>
      <c r="AE6" s="25">
        <f t="shared" si="7"/>
        <v>2.4559869933866108E-2</v>
      </c>
      <c r="AF6" s="19">
        <f t="shared" si="8"/>
        <v>271.171695</v>
      </c>
      <c r="AG6" s="20">
        <f t="shared" si="9"/>
        <v>1.3260964651943437</v>
      </c>
      <c r="AH6" s="20">
        <f t="shared" si="10"/>
        <v>0.17662514501911739</v>
      </c>
      <c r="AI6" s="20">
        <f t="shared" si="11"/>
        <v>0.16079413301708598</v>
      </c>
      <c r="AJ6" s="20">
        <f t="shared" si="12"/>
        <v>1.1494705499613833</v>
      </c>
      <c r="AK6" s="17">
        <f t="shared" si="13"/>
        <v>38525696</v>
      </c>
      <c r="AL6" s="20">
        <v>16</v>
      </c>
      <c r="AM6" s="21">
        <v>22654789</v>
      </c>
      <c r="AN6" s="22">
        <v>289249808</v>
      </c>
      <c r="AO6" s="22">
        <v>35072616</v>
      </c>
      <c r="AP6" s="22">
        <v>3453080</v>
      </c>
      <c r="AQ6" s="22">
        <v>250723944</v>
      </c>
      <c r="AR6" s="23"/>
      <c r="AS6" s="23"/>
      <c r="AT6" s="23"/>
      <c r="AU6" s="23"/>
      <c r="AV6" s="23"/>
      <c r="AW6" s="24">
        <v>3269.57</v>
      </c>
      <c r="AX6" s="24">
        <v>5676.31</v>
      </c>
      <c r="AY6" s="24">
        <v>5.38</v>
      </c>
      <c r="AZ6" s="24">
        <v>25.638000000000002</v>
      </c>
      <c r="BB6" s="49">
        <f t="shared" si="14"/>
        <v>0.99989706843604975</v>
      </c>
      <c r="BC6" s="49">
        <f t="shared" si="15"/>
        <v>0.9992233561678654</v>
      </c>
      <c r="BD6" s="49">
        <f t="shared" si="16"/>
        <v>1</v>
      </c>
      <c r="BE6" s="49">
        <f t="shared" si="17"/>
        <v>1</v>
      </c>
      <c r="BF6" s="25">
        <f t="shared" si="18"/>
        <v>-8.9802679058975654E-5</v>
      </c>
      <c r="BG6" s="25">
        <f t="array" ref="BG6">AVERAGE(AK6:AK6/AN6:AN6) - AVERAGE(N6:N6/Q6:Q6)</f>
        <v>-8.9802679058975654E-5</v>
      </c>
      <c r="BI6" s="58">
        <f t="shared" si="19"/>
        <v>0</v>
      </c>
      <c r="BJ6" s="58">
        <f t="shared" si="20"/>
        <v>-29776</v>
      </c>
      <c r="BK6" s="58">
        <f t="shared" si="20"/>
        <v>0</v>
      </c>
      <c r="BL6" s="58">
        <f t="shared" si="20"/>
        <v>-29944</v>
      </c>
      <c r="BP6" t="s">
        <v>233</v>
      </c>
    </row>
    <row r="7" spans="1:68" collapsed="1">
      <c r="A7" s="52"/>
      <c r="B7" s="52" t="s">
        <v>64</v>
      </c>
      <c r="C7" s="52">
        <v>322589704</v>
      </c>
      <c r="D7" s="9">
        <v>10</v>
      </c>
      <c r="E7" s="9">
        <v>32</v>
      </c>
      <c r="F7" s="9">
        <v>30</v>
      </c>
      <c r="H7" s="16">
        <f t="shared" si="0"/>
        <v>1.8939286465307691E-2</v>
      </c>
      <c r="I7" s="10">
        <f t="shared" si="1"/>
        <v>309.29945249999997</v>
      </c>
      <c r="J7" s="11">
        <f t="shared" si="2"/>
        <v>1.0227214691266153</v>
      </c>
      <c r="K7" s="11">
        <f t="shared" si="3"/>
        <v>0.15738731698640945</v>
      </c>
      <c r="L7" s="11">
        <f t="shared" si="4"/>
        <v>0.14511731595748636</v>
      </c>
      <c r="M7" s="11">
        <f t="shared" si="5"/>
        <v>0.86533415214020593</v>
      </c>
      <c r="N7" s="52">
        <f t="shared" si="6"/>
        <v>50771528</v>
      </c>
      <c r="O7" s="11">
        <v>16</v>
      </c>
      <c r="P7" s="12">
        <v>33947718</v>
      </c>
      <c r="Q7" s="13">
        <v>329919416</v>
      </c>
      <c r="R7" s="13">
        <v>46813352</v>
      </c>
      <c r="S7" s="13">
        <v>3958176</v>
      </c>
      <c r="T7" s="13">
        <v>279147888</v>
      </c>
      <c r="U7" s="14"/>
      <c r="V7" s="14"/>
      <c r="W7" s="14"/>
      <c r="X7" s="14"/>
      <c r="Y7" s="14"/>
      <c r="Z7" s="15">
        <v>5087.41</v>
      </c>
      <c r="AA7" s="15">
        <v>7792.62</v>
      </c>
      <c r="AB7" s="15">
        <v>9.1839999999999993</v>
      </c>
      <c r="AC7" s="15">
        <v>34.631</v>
      </c>
      <c r="AE7" s="16">
        <f t="shared" si="7"/>
        <v>1.8939286465307691E-2</v>
      </c>
      <c r="AF7" s="10">
        <f t="shared" si="8"/>
        <v>309.26105250000001</v>
      </c>
      <c r="AG7" s="11">
        <f t="shared" si="9"/>
        <v>1.0225944966923062</v>
      </c>
      <c r="AH7" s="11">
        <f t="shared" si="10"/>
        <v>0.15725982376672507</v>
      </c>
      <c r="AI7" s="11">
        <f t="shared" si="11"/>
        <v>0.14511731595748636</v>
      </c>
      <c r="AJ7" s="11">
        <f t="shared" si="12"/>
        <v>0.86533415214020593</v>
      </c>
      <c r="AK7" s="52">
        <f t="shared" si="13"/>
        <v>50730400</v>
      </c>
      <c r="AL7" s="11">
        <v>16</v>
      </c>
      <c r="AM7" s="12">
        <v>33947718</v>
      </c>
      <c r="AN7" s="13">
        <v>329878456</v>
      </c>
      <c r="AO7" s="13">
        <v>46813352</v>
      </c>
      <c r="AP7" s="13">
        <v>3917048</v>
      </c>
      <c r="AQ7" s="13">
        <v>279147888</v>
      </c>
      <c r="AR7" s="14"/>
      <c r="AS7" s="14"/>
      <c r="AT7" s="14"/>
      <c r="AU7" s="14"/>
      <c r="AV7" s="14"/>
      <c r="AW7" s="15">
        <v>5100.84</v>
      </c>
      <c r="AX7" s="15">
        <v>7015.91</v>
      </c>
      <c r="AY7" s="15">
        <v>7.5890000000000004</v>
      </c>
      <c r="AZ7" s="15">
        <v>29.25</v>
      </c>
      <c r="BB7" s="50">
        <f t="shared" si="14"/>
        <v>0.999875848470828</v>
      </c>
      <c r="BC7" s="50">
        <f t="shared" si="15"/>
        <v>0.99918993968430503</v>
      </c>
      <c r="BD7" s="50">
        <f t="shared" si="16"/>
        <v>1</v>
      </c>
      <c r="BE7" s="50">
        <f t="shared" si="17"/>
        <v>1</v>
      </c>
      <c r="BF7" s="16">
        <f t="shared" si="18"/>
        <v>-1.0556808584186173E-4</v>
      </c>
      <c r="BG7" s="16">
        <f t="array" ref="BG7">AVERAGE(AK7:AK7/AN7:AN7) - AVERAGE(N7:N7/Q7:Q7)</f>
        <v>-1.0556808584186173E-4</v>
      </c>
      <c r="BI7" s="58">
        <f t="shared" si="19"/>
        <v>0</v>
      </c>
      <c r="BJ7" s="58">
        <f t="shared" si="20"/>
        <v>-40960</v>
      </c>
      <c r="BK7" s="58">
        <f t="shared" si="20"/>
        <v>0</v>
      </c>
      <c r="BL7" s="58">
        <f t="shared" si="20"/>
        <v>-41128</v>
      </c>
      <c r="BP7" t="s">
        <v>239</v>
      </c>
    </row>
    <row r="8" spans="1:68" collapsed="1">
      <c r="A8" s="36"/>
      <c r="B8" s="36" t="s">
        <v>70</v>
      </c>
      <c r="C8" s="36">
        <v>250602891</v>
      </c>
      <c r="D8" s="37">
        <v>10</v>
      </c>
      <c r="E8" s="37">
        <v>32</v>
      </c>
      <c r="F8" s="37">
        <v>50</v>
      </c>
      <c r="H8" s="45">
        <f t="shared" si="0"/>
        <v>1.7509803617578409E-2</v>
      </c>
      <c r="I8" s="38">
        <f t="shared" si="1"/>
        <v>370.23812500000003</v>
      </c>
      <c r="J8" s="39">
        <f t="shared" si="2"/>
        <v>0.94552939534923397</v>
      </c>
      <c r="K8" s="39">
        <f t="shared" si="3"/>
        <v>0.11810564467909511</v>
      </c>
      <c r="L8" s="39">
        <f t="shared" si="4"/>
        <v>0.10408365161278207</v>
      </c>
      <c r="M8" s="39">
        <f t="shared" si="5"/>
        <v>0.82742375067013896</v>
      </c>
      <c r="N8" s="36">
        <f t="shared" si="6"/>
        <v>29597616</v>
      </c>
      <c r="O8" s="39">
        <v>16</v>
      </c>
      <c r="P8" s="40">
        <v>32209643</v>
      </c>
      <c r="Q8" s="41">
        <v>236952400</v>
      </c>
      <c r="R8" s="41">
        <v>26083664</v>
      </c>
      <c r="S8" s="41">
        <v>3513952</v>
      </c>
      <c r="T8" s="41">
        <v>207354784</v>
      </c>
      <c r="U8" s="42"/>
      <c r="V8" s="42"/>
      <c r="W8" s="42"/>
      <c r="X8" s="42"/>
      <c r="Y8" s="42"/>
      <c r="Z8" s="43">
        <v>4432.95</v>
      </c>
      <c r="AA8" s="43">
        <v>5294.99</v>
      </c>
      <c r="AB8" s="43">
        <v>6.9050000000000002</v>
      </c>
      <c r="AC8" s="43">
        <v>27.376000000000001</v>
      </c>
      <c r="AE8" s="45">
        <f t="shared" si="7"/>
        <v>1.7509803617578409E-2</v>
      </c>
      <c r="AF8" s="38">
        <f t="shared" si="8"/>
        <v>370.18782499999998</v>
      </c>
      <c r="AG8" s="39">
        <f t="shared" si="9"/>
        <v>0.94540093713444029</v>
      </c>
      <c r="AH8" s="39">
        <f t="shared" si="10"/>
        <v>0.1179765160809737</v>
      </c>
      <c r="AI8" s="39">
        <f t="shared" si="11"/>
        <v>0.10408365161278207</v>
      </c>
      <c r="AJ8" s="39">
        <f t="shared" si="12"/>
        <v>0.82742375067013896</v>
      </c>
      <c r="AK8" s="36">
        <f t="shared" si="13"/>
        <v>29565256</v>
      </c>
      <c r="AL8" s="39">
        <v>16</v>
      </c>
      <c r="AM8" s="40">
        <v>32209643</v>
      </c>
      <c r="AN8" s="41">
        <v>236920208</v>
      </c>
      <c r="AO8" s="41">
        <v>26083664</v>
      </c>
      <c r="AP8" s="41">
        <v>3481592</v>
      </c>
      <c r="AQ8" s="41">
        <v>207354784</v>
      </c>
      <c r="AR8" s="42"/>
      <c r="AS8" s="42"/>
      <c r="AT8" s="42"/>
      <c r="AU8" s="42"/>
      <c r="AV8" s="42"/>
      <c r="AW8" s="43">
        <v>4044.94</v>
      </c>
      <c r="AX8" s="43">
        <v>5013.4799999999996</v>
      </c>
      <c r="AY8" s="43">
        <v>6.8609999999999998</v>
      </c>
      <c r="AZ8" s="43">
        <v>26.561</v>
      </c>
      <c r="BB8" s="44">
        <f t="shared" si="14"/>
        <v>0.99986414149002079</v>
      </c>
      <c r="BC8" s="44">
        <f t="shared" si="15"/>
        <v>0.99890666869926281</v>
      </c>
      <c r="BD8" s="44">
        <f t="shared" si="16"/>
        <v>1</v>
      </c>
      <c r="BE8" s="44">
        <f t="shared" si="17"/>
        <v>1</v>
      </c>
      <c r="BF8" s="45">
        <f t="shared" si="18"/>
        <v>-1.1961373928602581E-4</v>
      </c>
      <c r="BG8" s="45">
        <f t="array" ref="BG8">AVERAGE(AK8:AK8/AN8:AN8) - AVERAGE(N8:N8/Q8:Q8)</f>
        <v>-1.1961373928602581E-4</v>
      </c>
      <c r="BI8" s="58">
        <f t="shared" si="19"/>
        <v>0</v>
      </c>
      <c r="BJ8" s="58">
        <f t="shared" si="20"/>
        <v>-32192</v>
      </c>
      <c r="BK8" s="58">
        <f t="shared" si="20"/>
        <v>0</v>
      </c>
      <c r="BL8" s="58">
        <f t="shared" si="20"/>
        <v>-32360</v>
      </c>
      <c r="BP8" t="s">
        <v>579</v>
      </c>
    </row>
    <row r="9" spans="1:68" collapsed="1">
      <c r="A9" s="26" t="s">
        <v>240</v>
      </c>
      <c r="B9" s="26" t="s">
        <v>73</v>
      </c>
      <c r="C9" s="26">
        <v>250294582</v>
      </c>
      <c r="D9" s="27">
        <v>10</v>
      </c>
      <c r="E9" s="27">
        <v>32</v>
      </c>
      <c r="F9" s="27">
        <v>30</v>
      </c>
      <c r="H9" s="35">
        <f t="shared" si="0"/>
        <v>2.7899620503378901E-2</v>
      </c>
      <c r="I9" s="28">
        <f t="shared" si="1"/>
        <v>353.520645</v>
      </c>
      <c r="J9" s="29">
        <f t="shared" si="2"/>
        <v>1.5065795071824608</v>
      </c>
      <c r="K9" s="29">
        <f t="shared" si="3"/>
        <v>0.15213657321595558</v>
      </c>
      <c r="L9" s="29">
        <f t="shared" si="4"/>
        <v>0.14210963623655265</v>
      </c>
      <c r="M9" s="29">
        <f t="shared" si="5"/>
        <v>1.3544429339665052</v>
      </c>
      <c r="N9" s="26">
        <f t="shared" si="6"/>
        <v>38078960</v>
      </c>
      <c r="O9" s="29">
        <v>16</v>
      </c>
      <c r="P9" s="30">
        <v>25312408</v>
      </c>
      <c r="Q9" s="31">
        <v>377088688</v>
      </c>
      <c r="R9" s="31">
        <v>35569272</v>
      </c>
      <c r="S9" s="31">
        <v>2509688</v>
      </c>
      <c r="T9" s="31">
        <v>339009728</v>
      </c>
      <c r="U9" s="32"/>
      <c r="V9" s="32"/>
      <c r="W9" s="32"/>
      <c r="X9" s="32"/>
      <c r="Y9" s="32"/>
      <c r="Z9" s="33">
        <v>1379.74</v>
      </c>
      <c r="AA9" s="33">
        <v>6241.37</v>
      </c>
      <c r="AB9" s="33">
        <v>5.79</v>
      </c>
      <c r="AC9" s="33">
        <v>29.279</v>
      </c>
      <c r="AE9" s="35">
        <f t="shared" si="7"/>
        <v>2.7899620503378901E-2</v>
      </c>
      <c r="AF9" s="28">
        <f t="shared" si="8"/>
        <v>353.49923250000001</v>
      </c>
      <c r="AG9" s="29">
        <f t="shared" si="9"/>
        <v>1.5064882547078067</v>
      </c>
      <c r="AH9" s="29">
        <f t="shared" si="10"/>
        <v>0.15204464953220601</v>
      </c>
      <c r="AI9" s="29">
        <f t="shared" si="11"/>
        <v>0.14210963623655265</v>
      </c>
      <c r="AJ9" s="29">
        <f t="shared" si="12"/>
        <v>1.3544429339665052</v>
      </c>
      <c r="AK9" s="26">
        <f t="shared" si="13"/>
        <v>38055952</v>
      </c>
      <c r="AL9" s="29">
        <v>16</v>
      </c>
      <c r="AM9" s="30">
        <v>25312408</v>
      </c>
      <c r="AN9" s="31">
        <v>377065848</v>
      </c>
      <c r="AO9" s="31">
        <v>35569272</v>
      </c>
      <c r="AP9" s="31">
        <v>2486680</v>
      </c>
      <c r="AQ9" s="31">
        <v>339009728</v>
      </c>
      <c r="AR9" s="32"/>
      <c r="AS9" s="32"/>
      <c r="AT9" s="32"/>
      <c r="AU9" s="32"/>
      <c r="AV9" s="32"/>
      <c r="AW9" s="33">
        <v>1776.39</v>
      </c>
      <c r="AX9" s="33">
        <v>8625.4500000000007</v>
      </c>
      <c r="AY9" s="33">
        <v>7.8639999999999999</v>
      </c>
      <c r="AZ9" s="33">
        <v>41.533000000000001</v>
      </c>
      <c r="BB9" s="34">
        <f t="shared" si="14"/>
        <v>0.99993943069435165</v>
      </c>
      <c r="BC9" s="34">
        <f t="shared" si="15"/>
        <v>0.99939578181757061</v>
      </c>
      <c r="BD9" s="34">
        <f t="shared" si="16"/>
        <v>1</v>
      </c>
      <c r="BE9" s="34">
        <f t="shared" si="17"/>
        <v>1</v>
      </c>
      <c r="BF9" s="35">
        <f t="shared" si="18"/>
        <v>-5.4901773636595319E-5</v>
      </c>
      <c r="BG9" s="35">
        <f t="array" ref="BG9">AVERAGE(AK9:AK9/AN9:AN9) - AVERAGE(N9:N9/Q9:Q9)</f>
        <v>-5.4901773636595319E-5</v>
      </c>
      <c r="BI9" s="58">
        <f t="shared" si="19"/>
        <v>0</v>
      </c>
      <c r="BJ9" s="58">
        <f t="shared" si="20"/>
        <v>-22840</v>
      </c>
      <c r="BK9" s="58">
        <f t="shared" si="20"/>
        <v>0</v>
      </c>
      <c r="BL9" s="58">
        <f t="shared" si="20"/>
        <v>-23008</v>
      </c>
      <c r="BP9" t="s">
        <v>583</v>
      </c>
    </row>
    <row r="10" spans="1:68" collapsed="1">
      <c r="A10" s="17" t="s">
        <v>242</v>
      </c>
      <c r="B10" s="17" t="s">
        <v>77</v>
      </c>
      <c r="C10" s="17">
        <v>375422539</v>
      </c>
      <c r="D10" s="18">
        <v>11</v>
      </c>
      <c r="E10" s="18">
        <v>32</v>
      </c>
      <c r="F10" s="18">
        <v>30</v>
      </c>
      <c r="H10" s="25">
        <f t="shared" si="0"/>
        <v>4.2502292961270782E-2</v>
      </c>
      <c r="I10" s="19">
        <f t="shared" si="1"/>
        <v>852.66578249999998</v>
      </c>
      <c r="J10" s="20">
        <f t="shared" si="2"/>
        <v>2.4226306987924344</v>
      </c>
      <c r="K10" s="20">
        <f t="shared" si="3"/>
        <v>0.27508093753529272</v>
      </c>
      <c r="L10" s="20">
        <f t="shared" si="4"/>
        <v>0.26234100984544245</v>
      </c>
      <c r="M10" s="20">
        <f t="shared" si="5"/>
        <v>2.1475497612571419</v>
      </c>
      <c r="N10" s="17">
        <f t="shared" si="6"/>
        <v>103271584</v>
      </c>
      <c r="O10" s="20">
        <v>16</v>
      </c>
      <c r="P10" s="21">
        <v>92854683</v>
      </c>
      <c r="Q10" s="22">
        <v>909510168</v>
      </c>
      <c r="R10" s="22">
        <v>98488728</v>
      </c>
      <c r="S10" s="22">
        <v>4782856</v>
      </c>
      <c r="T10" s="22">
        <v>806238584</v>
      </c>
      <c r="U10" s="23"/>
      <c r="V10" s="23"/>
      <c r="W10" s="23"/>
      <c r="X10" s="23"/>
      <c r="Y10" s="23"/>
      <c r="Z10" s="24">
        <v>3319.91</v>
      </c>
      <c r="AA10" s="24">
        <v>21706.5</v>
      </c>
      <c r="AB10" s="24">
        <v>22.931999999999999</v>
      </c>
      <c r="AC10" s="24">
        <v>93.915999999999997</v>
      </c>
      <c r="AE10" s="25">
        <f t="shared" si="7"/>
        <v>4.2502292961270782E-2</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8">
        <f t="shared" si="19"/>
        <v>-92854683</v>
      </c>
      <c r="BJ10" s="58">
        <f t="shared" si="20"/>
        <v>-909510168</v>
      </c>
      <c r="BK10" s="58">
        <f t="shared" si="20"/>
        <v>-98488728</v>
      </c>
      <c r="BL10" s="58">
        <f t="shared" si="20"/>
        <v>-4782856</v>
      </c>
      <c r="BP10" t="s">
        <v>584</v>
      </c>
    </row>
    <row r="11" spans="1:68" collapsed="1">
      <c r="A11" s="26"/>
      <c r="B11" s="26" t="s">
        <v>82</v>
      </c>
      <c r="C11" s="26">
        <v>333190689</v>
      </c>
      <c r="D11" s="27">
        <v>11</v>
      </c>
      <c r="E11" s="27">
        <v>32</v>
      </c>
      <c r="F11" s="27">
        <v>30</v>
      </c>
      <c r="H11" s="35">
        <f t="shared" si="0"/>
        <v>4.3713110914271824E-2</v>
      </c>
      <c r="I11" s="28">
        <f t="shared" si="1"/>
        <v>778.30658249999999</v>
      </c>
      <c r="J11" s="29">
        <f t="shared" si="2"/>
        <v>2.491647322113494</v>
      </c>
      <c r="K11" s="29">
        <f t="shared" si="3"/>
        <v>0.29579599686832786</v>
      </c>
      <c r="L11" s="29">
        <f t="shared" si="4"/>
        <v>0.28100381880719361</v>
      </c>
      <c r="M11" s="29">
        <f t="shared" si="5"/>
        <v>2.1958513252451661</v>
      </c>
      <c r="N11" s="26">
        <f t="shared" si="6"/>
        <v>98556472</v>
      </c>
      <c r="O11" s="29">
        <v>16</v>
      </c>
      <c r="P11" s="30">
        <v>83104648</v>
      </c>
      <c r="Q11" s="31">
        <v>830193688</v>
      </c>
      <c r="R11" s="31">
        <v>93627856</v>
      </c>
      <c r="S11" s="31">
        <v>4928616</v>
      </c>
      <c r="T11" s="31">
        <v>731637216</v>
      </c>
      <c r="U11" s="32"/>
      <c r="V11" s="32"/>
      <c r="W11" s="32"/>
      <c r="X11" s="32"/>
      <c r="Y11" s="32"/>
      <c r="Z11" s="33">
        <v>3698.57</v>
      </c>
      <c r="AA11" s="33">
        <v>32232.2</v>
      </c>
      <c r="AB11" s="33">
        <v>30.015000000000001</v>
      </c>
      <c r="AC11" s="33">
        <v>131.00299999999999</v>
      </c>
      <c r="AE11" s="35">
        <f t="shared" si="7"/>
        <v>4.3713110914271824E-2</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8">
        <f t="shared" si="19"/>
        <v>-83104648</v>
      </c>
      <c r="BJ11" s="58">
        <f t="shared" si="20"/>
        <v>-830193688</v>
      </c>
      <c r="BK11" s="58">
        <f t="shared" si="20"/>
        <v>-93627856</v>
      </c>
      <c r="BL11" s="58">
        <f t="shared" si="20"/>
        <v>-4928616</v>
      </c>
      <c r="BP11" t="s">
        <v>585</v>
      </c>
    </row>
    <row r="12" spans="1:68" ht="16">
      <c r="B12" s="46" t="s">
        <v>16</v>
      </c>
      <c r="J12" s="47">
        <f>AVERAGE(J5:J8)</f>
        <v>1.0554149578937491</v>
      </c>
      <c r="K12" s="47">
        <f>AVERAGE(K5:K8)</f>
        <v>0.14883544938347629</v>
      </c>
      <c r="L12" s="47">
        <f>AVERAGE(L5:L8)</f>
        <v>0.13600121020998429</v>
      </c>
      <c r="M12" s="47">
        <f>AVERAGE(M5:M8)</f>
        <v>0.9065795085102728</v>
      </c>
      <c r="AG12" s="47">
        <f>AVERAGE(AG5:AG8)</f>
        <v>1.0553046018805814</v>
      </c>
      <c r="AH12" s="47">
        <f>AVERAGE(AH5:AH8)</f>
        <v>0.14872442666256214</v>
      </c>
      <c r="AI12" s="47">
        <f>AVERAGE(AI5:AI8)</f>
        <v>0.13600121020998429</v>
      </c>
      <c r="AJ12" s="47">
        <f>AVERAGE(AJ5:AJ8)</f>
        <v>0.9065795085102728</v>
      </c>
      <c r="BB12" s="51">
        <f t="shared" si="14"/>
        <v>0.99989543827066096</v>
      </c>
      <c r="BC12" s="51">
        <f t="shared" si="15"/>
        <v>0.99925405727349204</v>
      </c>
      <c r="BD12" s="51">
        <f t="shared" si="16"/>
        <v>1</v>
      </c>
      <c r="BE12" s="51">
        <f t="shared" si="17"/>
        <v>1</v>
      </c>
      <c r="BG12" s="55">
        <f>AVERAGE(BG5:BG8)</f>
        <v>-9.0220095022960217E-5</v>
      </c>
    </row>
    <row r="13" spans="1:68" ht="16">
      <c r="B13" s="46" t="s">
        <v>17</v>
      </c>
      <c r="J13" s="47">
        <f>AVERAGE(J9:J9)</f>
        <v>1.5065795071824608</v>
      </c>
      <c r="K13" s="47">
        <f>AVERAGE(K9:K9)</f>
        <v>0.15213657321595558</v>
      </c>
      <c r="L13" s="47">
        <f>AVERAGE(L9:L9)</f>
        <v>0.14210963623655265</v>
      </c>
      <c r="M13" s="47">
        <f>AVERAGE(M9:M9)</f>
        <v>1.3544429339665052</v>
      </c>
      <c r="AG13" s="47">
        <f>AVERAGE(AG9:AG9)</f>
        <v>1.5064882547078067</v>
      </c>
      <c r="AH13" s="47">
        <f>AVERAGE(AH9:AH9)</f>
        <v>0.15204464953220601</v>
      </c>
      <c r="AI13" s="47">
        <f>AVERAGE(AI9:AI9)</f>
        <v>0.14210963623655265</v>
      </c>
      <c r="AJ13" s="47">
        <f>AVERAGE(AJ9:AJ9)</f>
        <v>1.3544429339665052</v>
      </c>
      <c r="BB13" s="51">
        <f t="shared" si="14"/>
        <v>0.99993943069435165</v>
      </c>
      <c r="BC13" s="51">
        <f t="shared" si="15"/>
        <v>0.99939578181757061</v>
      </c>
      <c r="BD13" s="51">
        <f t="shared" si="16"/>
        <v>1</v>
      </c>
      <c r="BE13" s="51">
        <f t="shared" si="17"/>
        <v>1</v>
      </c>
      <c r="BG13" s="55">
        <f>AVERAGE(BG9:BG9)</f>
        <v>-5.4901773636595319E-5</v>
      </c>
    </row>
    <row r="14" spans="1:68" ht="16">
      <c r="B14" s="46" t="s">
        <v>18</v>
      </c>
      <c r="J14" s="47">
        <f>AVERAGE(J10:J11)</f>
        <v>2.4571390104529645</v>
      </c>
      <c r="K14" s="47">
        <f>AVERAGE(K10:K11)</f>
        <v>0.28543846720181032</v>
      </c>
      <c r="L14" s="47">
        <f>AVERAGE(L10:L11)</f>
        <v>0.27167241432631806</v>
      </c>
      <c r="M14" s="47">
        <f>AVERAGE(M10:M11)</f>
        <v>2.1717005432511538</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c r="B15" s="46" t="s">
        <v>19</v>
      </c>
      <c r="J15" s="47">
        <f>AVERAGE(J5:J11)</f>
        <v>1.520359622809055</v>
      </c>
      <c r="K15" s="47">
        <f>AVERAGE(K5:K11)</f>
        <v>0.18833647216478305</v>
      </c>
      <c r="L15" s="47">
        <f>AVERAGE(L5:L11)</f>
        <v>0.17563704367558941</v>
      </c>
      <c r="M15" s="47">
        <f>AVERAGE(M5:M11)</f>
        <v>1.3320231506442721</v>
      </c>
      <c r="AG15" s="47">
        <f>AVERAGE(AG5:AG11)</f>
        <v>1.1455413324460264</v>
      </c>
      <c r="AH15" s="47">
        <f>AVERAGE(AH5:AH11)</f>
        <v>0.14938847123649091</v>
      </c>
      <c r="AI15" s="47">
        <f>AVERAGE(AI5:AI11)</f>
        <v>0.13722289541529795</v>
      </c>
      <c r="AJ15" s="47">
        <f>AVERAGE(AJ5:AJ11)</f>
        <v>0.99615219360151919</v>
      </c>
      <c r="BB15" s="51">
        <f t="shared" si="14"/>
        <v>0.75346734763285494</v>
      </c>
      <c r="BC15" s="51">
        <f t="shared" si="15"/>
        <v>0.79319990185323741</v>
      </c>
      <c r="BD15" s="51">
        <f t="shared" si="16"/>
        <v>0.7812867521771526</v>
      </c>
      <c r="BE15" s="51">
        <f t="shared" si="17"/>
        <v>0.747849009320672</v>
      </c>
      <c r="BG15" s="55" t="e">
        <f>AVERAGE(BG5:BG11)</f>
        <v>#VALUE!</v>
      </c>
    </row>
    <row r="16" spans="1:68" ht="16" hidden="1" outlineLevel="2">
      <c r="A16" s="46" t="s">
        <v>245</v>
      </c>
      <c r="B16" s="46" t="s">
        <v>246</v>
      </c>
      <c r="Z16" s="48">
        <f>SUM(Z5:Z8,Z9:Z9,Z10:Z11)</f>
        <v>25077.920000000002</v>
      </c>
      <c r="AA16" s="48">
        <f>SUM(AA5:AA8,AA9:AA9,AA10:AA11)</f>
        <v>84892.59</v>
      </c>
      <c r="AB16" s="48">
        <f>SUM(AB5:AB8,AB9:AB9,AB10:AB11)</f>
        <v>87.295999999999992</v>
      </c>
      <c r="AC16" s="48">
        <f>SUM(AC5:AC8,AC9:AC9,AC10:AC11)</f>
        <v>371.26099999999997</v>
      </c>
      <c r="AW16" s="48">
        <f>SUM(AW5:AW8,AW9:AW9,AW10:AW11)</f>
        <v>18243.78</v>
      </c>
      <c r="AX16" s="48">
        <f>SUM(AX5:AX8,AX9:AX9,AX10:AX11)</f>
        <v>32734.98</v>
      </c>
      <c r="AY16" s="48">
        <f>SUM(AY5:AY8,AY9:AY9,AY10:AY11)</f>
        <v>34.698999999999998</v>
      </c>
      <c r="AZ16" s="48">
        <f>SUM(AZ5:AZ8,AZ9:AZ9,AZ10:AZ11)</f>
        <v>156.19100000000003</v>
      </c>
    </row>
    <row r="17" spans="2:52" ht="16" hidden="1" outlineLevel="2">
      <c r="B17" s="46" t="s">
        <v>247</v>
      </c>
      <c r="AW17" s="55">
        <f>AW16/Z16</f>
        <v>0.72748377855898727</v>
      </c>
      <c r="AX17" s="55">
        <f>AX16/AA16</f>
        <v>0.38560467998443682</v>
      </c>
      <c r="AY17" s="55">
        <f>AY16/AB16</f>
        <v>0.39748671187683288</v>
      </c>
      <c r="AZ17" s="55">
        <f>AZ16/AC16</f>
        <v>0.42070403301181658</v>
      </c>
    </row>
    <row r="18" spans="2:52" ht="16" hidden="1" outlineLevel="2">
      <c r="B18" s="46" t="s">
        <v>248</v>
      </c>
      <c r="Z18" s="48">
        <f>GEOMEAN(Z5:Z8,Z9:Z9,Z10:Z11)</f>
        <v>3364.9008135481658</v>
      </c>
      <c r="AA18" s="48">
        <f>GEOMEAN(AA5:AA8,AA9:AA9,AA10:AA11)</f>
        <v>9300.1152722338975</v>
      </c>
      <c r="AB18" s="48">
        <f>GEOMEAN(AB5:AB8,AB9:AB9,AB10:AB11)</f>
        <v>9.9747285862697943</v>
      </c>
      <c r="AC18" s="48">
        <f>GEOMEAN(AC5:AC8,AC9:AC9,AC10:AC11)</f>
        <v>42.682252791986599</v>
      </c>
      <c r="AW18" s="48">
        <f>GEOMEAN(AW5:AW8,AW9:AW9,AW10:AW11)</f>
        <v>3445.4923793220719</v>
      </c>
      <c r="AX18" s="48">
        <f>GEOMEAN(AX5:AX8,AX9:AX9,AX10:AX11)</f>
        <v>6434.3131193896288</v>
      </c>
      <c r="AY18" s="48">
        <f>GEOMEAN(AY5:AY8,AY9:AY9,AY10:AY11)</f>
        <v>6.8814693275035941</v>
      </c>
      <c r="AZ18" s="48">
        <f>GEOMEAN(AZ5:AZ8,AZ9:AZ9,AZ10:AZ11)</f>
        <v>30.745439610749493</v>
      </c>
    </row>
    <row r="19" spans="2:52" ht="16" outlineLevel="2" collapsed="1">
      <c r="B19" s="46" t="s">
        <v>249</v>
      </c>
      <c r="AW19" s="55">
        <f>AW18/Z18</f>
        <v>1.0239506512196195</v>
      </c>
      <c r="AX19" s="55">
        <f>AX18/AA18</f>
        <v>0.6918530503164505</v>
      </c>
      <c r="AY19" s="55">
        <f>AY18/AB18</f>
        <v>0.68989038328079733</v>
      </c>
      <c r="AZ19" s="55">
        <f>AZ18/AC18</f>
        <v>0.72033310332958367</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phoneticPr fontId="2"/>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2019-12-04T16:56:08Z</dcterms:modified>
</cp:coreProperties>
</file>