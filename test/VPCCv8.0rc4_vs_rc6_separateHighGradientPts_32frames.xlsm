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1" defaultThemeVersion="124226"/>
  <mc:AlternateContent xmlns:mc="http://schemas.openxmlformats.org/markup-compatibility/2006">
    <mc:Choice Requires="x15">
      <x15ac:absPath xmlns:x15ac="http://schemas.microsoft.com/office/spreadsheetml/2010/11/ac" url="D:\louise\code\PCC\mpeg-pcc-tmc2-m50667\test\"/>
    </mc:Choice>
  </mc:AlternateContent>
  <bookViews>
    <workbookView xWindow="-105" yWindow="-105" windowWidth="23258" windowHeight="12765" firstSheet="4" activeTab="6"/>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BA45" i="7" s="1"/>
  <c r="AZ44" i="7"/>
  <c r="AE44" i="7"/>
  <c r="AD44" i="7"/>
  <c r="AC44" i="7"/>
  <c r="AB44" i="7"/>
  <c r="BF39" i="7"/>
  <c r="AL39" i="7"/>
  <c r="AI39" i="7" s="1"/>
  <c r="AK39" i="7"/>
  <c r="AJ39" i="7"/>
  <c r="AH39" i="7"/>
  <c r="AG39" i="7"/>
  <c r="N39" i="7"/>
  <c r="K39" i="7" s="1"/>
  <c r="M39" i="7"/>
  <c r="L39" i="7"/>
  <c r="J39" i="7"/>
  <c r="I39" i="7"/>
  <c r="BF38" i="7"/>
  <c r="AL38" i="7"/>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I32" i="7" s="1"/>
  <c r="AK32" i="7"/>
  <c r="AJ32" i="7"/>
  <c r="AH32" i="7"/>
  <c r="AG32" i="7"/>
  <c r="N32" i="7"/>
  <c r="K32" i="7" s="1"/>
  <c r="M32" i="7"/>
  <c r="L32" i="7"/>
  <c r="J32" i="7"/>
  <c r="I32" i="7"/>
  <c r="BF31" i="7"/>
  <c r="AL31" i="7"/>
  <c r="BH30" i="7" s="1" a="1"/>
  <c r="AK31" i="7"/>
  <c r="AJ31" i="7"/>
  <c r="AH31" i="7"/>
  <c r="AG31" i="7"/>
  <c r="N31" i="7"/>
  <c r="K31" i="7" s="1"/>
  <c r="M31" i="7"/>
  <c r="L31" i="7"/>
  <c r="J31" i="7"/>
  <c r="I31" i="7"/>
  <c r="BF30" i="7"/>
  <c r="AL30" i="7"/>
  <c r="AI30" i="7" s="1"/>
  <c r="AK30" i="7"/>
  <c r="AJ30" i="7"/>
  <c r="AH30" i="7"/>
  <c r="AG30" i="7"/>
  <c r="N30" i="7"/>
  <c r="K30" i="7" s="1"/>
  <c r="M30" i="7"/>
  <c r="L30" i="7"/>
  <c r="J30" i="7"/>
  <c r="I30" i="7"/>
  <c r="BF29" i="7"/>
  <c r="AL29" i="7"/>
  <c r="AK29" i="7"/>
  <c r="AJ29" i="7"/>
  <c r="AH29" i="7"/>
  <c r="AG29" i="7"/>
  <c r="N29" i="7"/>
  <c r="K29" i="7" s="1"/>
  <c r="M29" i="7"/>
  <c r="L29" i="7"/>
  <c r="J29" i="7"/>
  <c r="I29" i="7"/>
  <c r="BF28" i="7"/>
  <c r="AL28" i="7"/>
  <c r="AI28" i="7" s="1"/>
  <c r="AK28" i="7"/>
  <c r="AJ28" i="7"/>
  <c r="AH28" i="7"/>
  <c r="AG28" i="7"/>
  <c r="N28" i="7"/>
  <c r="K28" i="7" s="1"/>
  <c r="M28" i="7"/>
  <c r="L28" i="7"/>
  <c r="J28" i="7"/>
  <c r="I28" i="7"/>
  <c r="BF27" i="7"/>
  <c r="AL27" i="7"/>
  <c r="AK27" i="7"/>
  <c r="AJ27" i="7"/>
  <c r="AH27" i="7"/>
  <c r="AG27" i="7"/>
  <c r="N27" i="7"/>
  <c r="K27" i="7" s="1"/>
  <c r="M27" i="7"/>
  <c r="L27" i="7"/>
  <c r="J27" i="7"/>
  <c r="I27" i="7"/>
  <c r="BF26" i="7"/>
  <c r="AL26" i="7"/>
  <c r="AI26" i="7" s="1"/>
  <c r="AK26" i="7"/>
  <c r="AJ26" i="7"/>
  <c r="AH26" i="7"/>
  <c r="AG26" i="7"/>
  <c r="N26" i="7"/>
  <c r="M26" i="7"/>
  <c r="L26" i="7"/>
  <c r="J26" i="7"/>
  <c r="I26" i="7"/>
  <c r="BF25" i="7"/>
  <c r="AL25" i="7"/>
  <c r="AK25" i="7"/>
  <c r="AJ25" i="7"/>
  <c r="AH25" i="7"/>
  <c r="AG25" i="7"/>
  <c r="N25" i="7"/>
  <c r="M25" i="7"/>
  <c r="L25" i="7"/>
  <c r="J25" i="7"/>
  <c r="I25" i="7"/>
  <c r="BF24" i="7"/>
  <c r="AL24" i="7"/>
  <c r="AI24" i="7" s="1"/>
  <c r="AK24" i="7"/>
  <c r="AJ24" i="7"/>
  <c r="AH24" i="7"/>
  <c r="AG24" i="7"/>
  <c r="N24" i="7"/>
  <c r="K24" i="7" s="1"/>
  <c r="M24" i="7"/>
  <c r="L24" i="7"/>
  <c r="J24" i="7"/>
  <c r="I24" i="7"/>
  <c r="BF23" i="7"/>
  <c r="AL23" i="7"/>
  <c r="AK23" i="7"/>
  <c r="AJ23" i="7"/>
  <c r="AH23" i="7"/>
  <c r="AG23" i="7"/>
  <c r="N23" i="7"/>
  <c r="K23" i="7" s="1"/>
  <c r="M23" i="7"/>
  <c r="L23" i="7"/>
  <c r="J23" i="7"/>
  <c r="I23" i="7"/>
  <c r="BF22" i="7"/>
  <c r="AL22" i="7"/>
  <c r="AI22" i="7" s="1"/>
  <c r="AK22" i="7"/>
  <c r="AJ22" i="7"/>
  <c r="AH22" i="7"/>
  <c r="AG22" i="7"/>
  <c r="N22" i="7"/>
  <c r="K22" i="7" s="1"/>
  <c r="M22" i="7"/>
  <c r="L22" i="7"/>
  <c r="J22" i="7"/>
  <c r="I22" i="7"/>
  <c r="BF21" i="7"/>
  <c r="AL21" i="7"/>
  <c r="AK21" i="7"/>
  <c r="AJ21" i="7"/>
  <c r="AH21" i="7"/>
  <c r="AG21" i="7"/>
  <c r="N21" i="7"/>
  <c r="K21" i="7" s="1"/>
  <c r="M21" i="7"/>
  <c r="L21" i="7"/>
  <c r="J21" i="7"/>
  <c r="I21" i="7"/>
  <c r="BF20" i="7"/>
  <c r="AL20" i="7"/>
  <c r="AI20" i="7" s="1"/>
  <c r="AK20" i="7"/>
  <c r="AJ20" i="7"/>
  <c r="AH20" i="7"/>
  <c r="AG20" i="7"/>
  <c r="N20" i="7"/>
  <c r="K20" i="7" s="1"/>
  <c r="M20" i="7"/>
  <c r="L20" i="7"/>
  <c r="J20" i="7"/>
  <c r="I20" i="7"/>
  <c r="BF19" i="7"/>
  <c r="AL19" i="7"/>
  <c r="AK19" i="7"/>
  <c r="AJ19" i="7"/>
  <c r="AH19" i="7"/>
  <c r="AG19" i="7"/>
  <c r="N19" i="7"/>
  <c r="K19" i="7" s="1"/>
  <c r="M19" i="7"/>
  <c r="L19" i="7"/>
  <c r="J19" i="7"/>
  <c r="I19" i="7"/>
  <c r="BF18" i="7"/>
  <c r="AL18" i="7"/>
  <c r="AI18" i="7" s="1"/>
  <c r="AK18" i="7"/>
  <c r="AJ18" i="7"/>
  <c r="AH18" i="7"/>
  <c r="AG18" i="7"/>
  <c r="N18" i="7"/>
  <c r="BG18" i="7" s="1"/>
  <c r="M18" i="7"/>
  <c r="L18" i="7"/>
  <c r="J18" i="7"/>
  <c r="I18" i="7"/>
  <c r="BF17" i="7"/>
  <c r="AL17" i="7"/>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M14" i="7"/>
  <c r="L14" i="7"/>
  <c r="J14" i="7"/>
  <c r="I14" i="7"/>
  <c r="BF13" i="7"/>
  <c r="AL13" i="7"/>
  <c r="AK13" i="7"/>
  <c r="AJ13" i="7"/>
  <c r="AH13" i="7"/>
  <c r="AG13" i="7"/>
  <c r="N13" i="7"/>
  <c r="K13" i="7" s="1"/>
  <c r="M13" i="7"/>
  <c r="L13" i="7"/>
  <c r="J13" i="7"/>
  <c r="I13" i="7"/>
  <c r="BF12" i="7"/>
  <c r="AL12" i="7"/>
  <c r="AI12" i="7" s="1"/>
  <c r="AK12" i="7"/>
  <c r="AJ12" i="7"/>
  <c r="AH12" i="7"/>
  <c r="AG12" i="7"/>
  <c r="N12" i="7"/>
  <c r="K12" i="7" s="1"/>
  <c r="M12" i="7"/>
  <c r="L12" i="7"/>
  <c r="J12" i="7"/>
  <c r="I12" i="7"/>
  <c r="BF11" i="7"/>
  <c r="AL11" i="7"/>
  <c r="AI11" i="7" s="1"/>
  <c r="AK11" i="7"/>
  <c r="AJ11" i="7"/>
  <c r="AH11" i="7"/>
  <c r="AG11" i="7"/>
  <c r="N11" i="7"/>
  <c r="K11" i="7" s="1"/>
  <c r="M11" i="7"/>
  <c r="L11" i="7"/>
  <c r="J11" i="7"/>
  <c r="I11" i="7"/>
  <c r="BF10" i="7"/>
  <c r="AL10" i="7"/>
  <c r="AI10" i="7" s="1"/>
  <c r="AK10" i="7"/>
  <c r="AJ10" i="7"/>
  <c r="AH10" i="7"/>
  <c r="AG10" i="7"/>
  <c r="N10" i="7"/>
  <c r="K10" i="7" s="1"/>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I7" i="7" s="1"/>
  <c r="AK7" i="7"/>
  <c r="AJ7" i="7"/>
  <c r="AH7" i="7"/>
  <c r="AG7" i="7"/>
  <c r="N7" i="7"/>
  <c r="K7" i="7" s="1"/>
  <c r="M7" i="7"/>
  <c r="L7" i="7"/>
  <c r="J7" i="7"/>
  <c r="I7" i="7"/>
  <c r="BF6" i="7"/>
  <c r="AL6" i="7"/>
  <c r="AI6" i="7" s="1"/>
  <c r="AK6" i="7"/>
  <c r="AJ6" i="7"/>
  <c r="AH6" i="7"/>
  <c r="AG6" i="7"/>
  <c r="N6" i="7"/>
  <c r="K6" i="7" s="1"/>
  <c r="M6" i="7"/>
  <c r="L6" i="7"/>
  <c r="J6" i="7"/>
  <c r="I6" i="7"/>
  <c r="BH5" i="7" a="1"/>
  <c r="BF5" i="7"/>
  <c r="AL5" i="7"/>
  <c r="AI5" i="7" s="1"/>
  <c r="AK5" i="7"/>
  <c r="AJ5" i="7"/>
  <c r="AH5" i="7"/>
  <c r="AG5" i="7"/>
  <c r="N5" i="7"/>
  <c r="M5" i="7"/>
  <c r="L5" i="7"/>
  <c r="J5" i="7"/>
  <c r="I5" i="7"/>
  <c r="AG1" i="7"/>
  <c r="I1" i="7"/>
  <c r="AZ18" i="6"/>
  <c r="AY18" i="6"/>
  <c r="AX18" i="6"/>
  <c r="AW18" i="6"/>
  <c r="AC18" i="6"/>
  <c r="AB18" i="6"/>
  <c r="AA18" i="6"/>
  <c r="Z18" i="6"/>
  <c r="AZ16" i="6"/>
  <c r="AY16" i="6"/>
  <c r="AX16" i="6"/>
  <c r="AW16" i="6"/>
  <c r="AC16" i="6"/>
  <c r="AB16" i="6"/>
  <c r="AA16" i="6"/>
  <c r="Z16" i="6"/>
  <c r="AJ13" i="6"/>
  <c r="AK11" i="6"/>
  <c r="BG11" i="6" s="1" a="1"/>
  <c r="AJ11" i="6"/>
  <c r="AI11" i="6"/>
  <c r="BD11" i="6" s="1"/>
  <c r="AG11" i="6"/>
  <c r="AF11" i="6"/>
  <c r="AE11" i="6"/>
  <c r="N11" i="6"/>
  <c r="K11" i="6" s="1"/>
  <c r="M11" i="6"/>
  <c r="BE11" i="6" s="1"/>
  <c r="L11" i="6"/>
  <c r="J11" i="6"/>
  <c r="I11" i="6"/>
  <c r="H11" i="6"/>
  <c r="AK10" i="6"/>
  <c r="AH10" i="6" s="1"/>
  <c r="AJ10" i="6"/>
  <c r="BE10" i="6" s="1"/>
  <c r="AI10" i="6"/>
  <c r="AG10" i="6"/>
  <c r="AF10" i="6"/>
  <c r="AE10" i="6"/>
  <c r="N10" i="6"/>
  <c r="BG10" i="6" s="1" a="1"/>
  <c r="M10" i="6"/>
  <c r="M14" i="6" s="1"/>
  <c r="L10" i="6"/>
  <c r="J10" i="6"/>
  <c r="I10" i="6"/>
  <c r="H10" i="6"/>
  <c r="AK9" i="6"/>
  <c r="BF9" i="6" s="1"/>
  <c r="AJ9" i="6"/>
  <c r="AI9" i="6"/>
  <c r="AI13" i="6" s="1"/>
  <c r="AG9" i="6"/>
  <c r="BB9" i="6" s="1"/>
  <c r="AF9" i="6"/>
  <c r="AE9" i="6"/>
  <c r="N9" i="6"/>
  <c r="M9" i="6"/>
  <c r="BE9" i="6" s="1"/>
  <c r="L9" i="6"/>
  <c r="L13" i="6" s="1"/>
  <c r="K9" i="6"/>
  <c r="K13" i="6" s="1"/>
  <c r="J9" i="6"/>
  <c r="J13" i="6" s="1"/>
  <c r="I9" i="6"/>
  <c r="H9" i="6"/>
  <c r="BG8" i="6" a="1"/>
  <c r="AK8" i="6"/>
  <c r="AH8" i="6" s="1"/>
  <c r="AJ8" i="6"/>
  <c r="BE8" i="6" s="1"/>
  <c r="AI8" i="6"/>
  <c r="AG8" i="6"/>
  <c r="AF8" i="6"/>
  <c r="AE8" i="6"/>
  <c r="N8" i="6"/>
  <c r="K8" i="6" s="1"/>
  <c r="M8" i="6"/>
  <c r="L8" i="6"/>
  <c r="BD8" i="6" s="1"/>
  <c r="J8" i="6"/>
  <c r="I8" i="6"/>
  <c r="H8" i="6"/>
  <c r="AK7" i="6"/>
  <c r="BG7" i="6" s="1" a="1"/>
  <c r="AJ7" i="6"/>
  <c r="AI7" i="6"/>
  <c r="AG7" i="6"/>
  <c r="AF7" i="6"/>
  <c r="AE7" i="6"/>
  <c r="N7" i="6"/>
  <c r="K7" i="6" s="1"/>
  <c r="M7" i="6"/>
  <c r="BE7" i="6" s="1"/>
  <c r="L7" i="6"/>
  <c r="J7" i="6"/>
  <c r="I7" i="6"/>
  <c r="H7" i="6"/>
  <c r="AK6" i="6"/>
  <c r="AH6" i="6" s="1"/>
  <c r="AJ6" i="6"/>
  <c r="AI6" i="6"/>
  <c r="AG6" i="6"/>
  <c r="AF6" i="6"/>
  <c r="AE6" i="6"/>
  <c r="N6" i="6"/>
  <c r="BG6" i="6" s="1" a="1"/>
  <c r="M6" i="6"/>
  <c r="L6" i="6"/>
  <c r="J6" i="6"/>
  <c r="I6" i="6"/>
  <c r="H6" i="6"/>
  <c r="AK5" i="6"/>
  <c r="AJ5" i="6"/>
  <c r="AI5" i="6"/>
  <c r="AI12" i="6" s="1"/>
  <c r="AG5" i="6"/>
  <c r="AG15" i="6" s="1"/>
  <c r="AF5" i="6"/>
  <c r="AE5" i="6"/>
  <c r="N5" i="6"/>
  <c r="K5" i="6" s="1"/>
  <c r="M5" i="6"/>
  <c r="M12" i="6" s="1"/>
  <c r="L5" i="6"/>
  <c r="J5" i="6"/>
  <c r="I5" i="6"/>
  <c r="H5" i="6"/>
  <c r="AE1" i="6"/>
  <c r="H1" i="6"/>
  <c r="AZ18" i="5"/>
  <c r="AY18" i="5"/>
  <c r="AX18" i="5"/>
  <c r="AW18" i="5"/>
  <c r="AC18" i="5"/>
  <c r="AB18" i="5"/>
  <c r="AA18" i="5"/>
  <c r="Z18" i="5"/>
  <c r="AZ16" i="5"/>
  <c r="AY16" i="5"/>
  <c r="AX16" i="5"/>
  <c r="AW16" i="5"/>
  <c r="AC16" i="5"/>
  <c r="AB16" i="5"/>
  <c r="AA16" i="5"/>
  <c r="Z16" i="5"/>
  <c r="AK11" i="5"/>
  <c r="AJ11" i="5"/>
  <c r="BE11" i="5" s="1"/>
  <c r="AI11" i="5"/>
  <c r="AH11" i="5"/>
  <c r="AG11" i="5"/>
  <c r="AF11" i="5"/>
  <c r="AE11" i="5"/>
  <c r="N11" i="5"/>
  <c r="BG11" i="5" s="1" a="1"/>
  <c r="BG11" i="5" s="1"/>
  <c r="M11" i="5"/>
  <c r="L11" i="5"/>
  <c r="BD11" i="5" s="1"/>
  <c r="J11" i="5"/>
  <c r="BB11" i="5" s="1"/>
  <c r="I11" i="5"/>
  <c r="H11" i="5"/>
  <c r="AK10" i="5"/>
  <c r="BF10" i="5" s="1"/>
  <c r="AJ10" i="5"/>
  <c r="AI10" i="5"/>
  <c r="AI14" i="5" s="1"/>
  <c r="AG10" i="5"/>
  <c r="AF10" i="5"/>
  <c r="AE10" i="5"/>
  <c r="N10" i="5"/>
  <c r="K10" i="5" s="1"/>
  <c r="M10" i="5"/>
  <c r="L10" i="5"/>
  <c r="L14" i="5" s="1"/>
  <c r="J10" i="5"/>
  <c r="I10" i="5"/>
  <c r="H10" i="5"/>
  <c r="AK9" i="5"/>
  <c r="AH9" i="5" s="1"/>
  <c r="AJ9" i="5"/>
  <c r="AJ13" i="5" s="1"/>
  <c r="AI9" i="5"/>
  <c r="AI13" i="5" s="1"/>
  <c r="AG9" i="5"/>
  <c r="AG13" i="5" s="1"/>
  <c r="AF9" i="5"/>
  <c r="AE9" i="5"/>
  <c r="N9" i="5"/>
  <c r="K9" i="5" s="1"/>
  <c r="K13" i="5" s="1"/>
  <c r="M9" i="5"/>
  <c r="M13" i="5" s="1"/>
  <c r="L9" i="5"/>
  <c r="L13" i="5" s="1"/>
  <c r="J9" i="5"/>
  <c r="BB9" i="5" s="1"/>
  <c r="I9" i="5"/>
  <c r="H9" i="5"/>
  <c r="AK8" i="5"/>
  <c r="BG8" i="5" s="1" a="1"/>
  <c r="AJ8" i="5"/>
  <c r="AI8" i="5"/>
  <c r="AG8" i="5"/>
  <c r="AF8" i="5"/>
  <c r="AE8" i="5"/>
  <c r="N8" i="5"/>
  <c r="K8" i="5" s="1"/>
  <c r="M8" i="5"/>
  <c r="L8" i="5"/>
  <c r="J8" i="5"/>
  <c r="I8" i="5"/>
  <c r="H8" i="5"/>
  <c r="AK7" i="5"/>
  <c r="AJ7" i="5"/>
  <c r="AI7" i="5"/>
  <c r="AH7" i="5"/>
  <c r="AG7" i="5"/>
  <c r="AF7" i="5"/>
  <c r="AE7" i="5"/>
  <c r="N7" i="5"/>
  <c r="BG7" i="5" s="1" a="1"/>
  <c r="BG7" i="5" s="1"/>
  <c r="M7" i="5"/>
  <c r="L7" i="5"/>
  <c r="BD7" i="5" s="1"/>
  <c r="J7" i="5"/>
  <c r="I7" i="5"/>
  <c r="H7" i="5"/>
  <c r="AK6" i="5"/>
  <c r="AJ6" i="5"/>
  <c r="AI6" i="5"/>
  <c r="AG6" i="5"/>
  <c r="BB6" i="5" s="1"/>
  <c r="AF6" i="5"/>
  <c r="AE6" i="5"/>
  <c r="N6" i="5"/>
  <c r="K6" i="5" s="1"/>
  <c r="M6" i="5"/>
  <c r="BE6" i="5" s="1"/>
  <c r="L6" i="5"/>
  <c r="J6" i="5"/>
  <c r="I6" i="5"/>
  <c r="H6" i="5"/>
  <c r="AK5" i="5"/>
  <c r="AH5" i="5" s="1"/>
  <c r="AJ5" i="5"/>
  <c r="AI5" i="5"/>
  <c r="AI12" i="5" s="1"/>
  <c r="AG5" i="5"/>
  <c r="AG12" i="5" s="1"/>
  <c r="AF5" i="5"/>
  <c r="AE5" i="5"/>
  <c r="N5" i="5"/>
  <c r="K5" i="5" s="1"/>
  <c r="M5" i="5"/>
  <c r="L5" i="5"/>
  <c r="J5" i="5"/>
  <c r="I5" i="5"/>
  <c r="H5" i="5"/>
  <c r="AE1" i="5"/>
  <c r="H1" i="5"/>
  <c r="BC46" i="3"/>
  <c r="BB46" i="3"/>
  <c r="BA46" i="3"/>
  <c r="AZ46" i="3"/>
  <c r="AE46" i="3"/>
  <c r="AD46" i="3"/>
  <c r="AC46" i="3"/>
  <c r="AB46" i="3"/>
  <c r="BC44" i="3"/>
  <c r="BB44" i="3"/>
  <c r="BA44" i="3"/>
  <c r="AZ44" i="3"/>
  <c r="AE44" i="3"/>
  <c r="AD44" i="3"/>
  <c r="BB45" i="3" s="1"/>
  <c r="AC44" i="3"/>
  <c r="AB44" i="3"/>
  <c r="BF39" i="3"/>
  <c r="AL39" i="3"/>
  <c r="AI39" i="3" s="1"/>
  <c r="AK39" i="3"/>
  <c r="AJ39" i="3"/>
  <c r="AH39" i="3"/>
  <c r="AG39" i="3"/>
  <c r="N39" i="3"/>
  <c r="K39" i="3" s="1"/>
  <c r="M39" i="3"/>
  <c r="L39" i="3"/>
  <c r="J39" i="3"/>
  <c r="I39" i="3"/>
  <c r="BF38" i="3"/>
  <c r="AL38" i="3"/>
  <c r="AI38" i="3" s="1"/>
  <c r="AK38" i="3"/>
  <c r="AJ38" i="3"/>
  <c r="AH38" i="3"/>
  <c r="AG38" i="3"/>
  <c r="N38" i="3"/>
  <c r="M38" i="3"/>
  <c r="L38" i="3"/>
  <c r="J38" i="3"/>
  <c r="I38" i="3"/>
  <c r="BF37" i="3"/>
  <c r="AL37" i="3"/>
  <c r="AK37" i="3"/>
  <c r="AJ37" i="3"/>
  <c r="AH37" i="3"/>
  <c r="AG37" i="3"/>
  <c r="N37" i="3"/>
  <c r="K37" i="3" s="1"/>
  <c r="M37" i="3"/>
  <c r="L37" i="3"/>
  <c r="J37" i="3"/>
  <c r="I37" i="3"/>
  <c r="BF36" i="3"/>
  <c r="AL36" i="3"/>
  <c r="AI36" i="3" s="1"/>
  <c r="AK36" i="3"/>
  <c r="AJ36" i="3"/>
  <c r="AH36" i="3"/>
  <c r="AG36" i="3"/>
  <c r="N36" i="3"/>
  <c r="K36" i="3" s="1"/>
  <c r="M36" i="3"/>
  <c r="L36" i="3"/>
  <c r="J36" i="3"/>
  <c r="I36" i="3"/>
  <c r="BF35" i="3"/>
  <c r="AL35" i="3"/>
  <c r="BH35" i="3" s="1" a="1"/>
  <c r="AK35" i="3"/>
  <c r="AJ35" i="3"/>
  <c r="AH35" i="3"/>
  <c r="AG35" i="3"/>
  <c r="N35" i="3"/>
  <c r="M35" i="3"/>
  <c r="L35" i="3"/>
  <c r="J35" i="3"/>
  <c r="I35" i="3"/>
  <c r="BF34" i="3"/>
  <c r="AL34" i="3"/>
  <c r="AI34" i="3" s="1"/>
  <c r="AK34" i="3"/>
  <c r="AJ34" i="3"/>
  <c r="AH34" i="3"/>
  <c r="AG34" i="3"/>
  <c r="N34" i="3"/>
  <c r="K34" i="3" s="1"/>
  <c r="M34" i="3"/>
  <c r="L34" i="3"/>
  <c r="J34" i="3"/>
  <c r="I34" i="3"/>
  <c r="BF33" i="3"/>
  <c r="AL33" i="3"/>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H30" i="3" a="1"/>
  <c r="BF30" i="3"/>
  <c r="AL30" i="3"/>
  <c r="AI30" i="3" s="1"/>
  <c r="AK30" i="3"/>
  <c r="AJ30" i="3"/>
  <c r="AH30" i="3"/>
  <c r="AG30" i="3"/>
  <c r="N30" i="3"/>
  <c r="K30" i="3" s="1"/>
  <c r="M30" i="3"/>
  <c r="L30" i="3"/>
  <c r="J30" i="3"/>
  <c r="I30" i="3"/>
  <c r="BF29" i="3"/>
  <c r="AL29" i="3"/>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K26" i="3" s="1"/>
  <c r="M26" i="3"/>
  <c r="L26" i="3"/>
  <c r="J26" i="3"/>
  <c r="I26" i="3"/>
  <c r="BF25" i="3"/>
  <c r="AL25" i="3"/>
  <c r="AK25" i="3"/>
  <c r="AJ25" i="3"/>
  <c r="AH25" i="3"/>
  <c r="AG25" i="3"/>
  <c r="N25" i="3"/>
  <c r="M25" i="3"/>
  <c r="L25" i="3"/>
  <c r="J25" i="3"/>
  <c r="I25" i="3"/>
  <c r="BF24" i="3"/>
  <c r="AL24" i="3"/>
  <c r="AI24" i="3" s="1"/>
  <c r="AK24" i="3"/>
  <c r="AJ24" i="3"/>
  <c r="AH24" i="3"/>
  <c r="AG24" i="3"/>
  <c r="N24" i="3"/>
  <c r="M24" i="3"/>
  <c r="L24" i="3"/>
  <c r="J24" i="3"/>
  <c r="I24" i="3"/>
  <c r="BF23" i="3"/>
  <c r="AL23" i="3"/>
  <c r="AI23" i="3" s="1"/>
  <c r="AK23" i="3"/>
  <c r="AJ23" i="3"/>
  <c r="AH23" i="3"/>
  <c r="AG23" i="3"/>
  <c r="N23" i="3"/>
  <c r="K23" i="3" s="1"/>
  <c r="M23" i="3"/>
  <c r="L23" i="3"/>
  <c r="J23" i="3"/>
  <c r="I23" i="3"/>
  <c r="BF22" i="3"/>
  <c r="AL22" i="3"/>
  <c r="AI22" i="3" s="1"/>
  <c r="AK22" i="3"/>
  <c r="AJ22" i="3"/>
  <c r="AH22" i="3"/>
  <c r="AG22" i="3"/>
  <c r="N22" i="3"/>
  <c r="K22" i="3" s="1"/>
  <c r="M22" i="3"/>
  <c r="L22" i="3"/>
  <c r="J22" i="3"/>
  <c r="I22" i="3"/>
  <c r="BF21" i="3"/>
  <c r="AL21" i="3"/>
  <c r="AK21" i="3"/>
  <c r="AJ21" i="3"/>
  <c r="AH21" i="3"/>
  <c r="AG21" i="3"/>
  <c r="N21" i="3"/>
  <c r="K21" i="3" s="1"/>
  <c r="M21" i="3"/>
  <c r="L21" i="3"/>
  <c r="J21" i="3"/>
  <c r="I21" i="3"/>
  <c r="BF20" i="3"/>
  <c r="AL20" i="3"/>
  <c r="AI20" i="3" s="1"/>
  <c r="AK20" i="3"/>
  <c r="AJ20" i="3"/>
  <c r="AH20" i="3"/>
  <c r="AG20" i="3"/>
  <c r="N20" i="3"/>
  <c r="K20" i="3" s="1"/>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K17" i="3"/>
  <c r="AJ17" i="3"/>
  <c r="AH17" i="3"/>
  <c r="AG17" i="3"/>
  <c r="N17" i="3"/>
  <c r="K17" i="3" s="1"/>
  <c r="M17" i="3"/>
  <c r="L17" i="3"/>
  <c r="J17" i="3"/>
  <c r="I17" i="3"/>
  <c r="BF16" i="3"/>
  <c r="AL16" i="3"/>
  <c r="AI16" i="3" s="1"/>
  <c r="AK16" i="3"/>
  <c r="AJ16" i="3"/>
  <c r="AH16" i="3"/>
  <c r="AG16" i="3"/>
  <c r="N16" i="3"/>
  <c r="M16" i="3"/>
  <c r="L16" i="3"/>
  <c r="J16" i="3"/>
  <c r="I16" i="3"/>
  <c r="BF15" i="3"/>
  <c r="AL15" i="3"/>
  <c r="BH15" i="3" s="1" a="1"/>
  <c r="AK15" i="3"/>
  <c r="AJ15" i="3"/>
  <c r="AH15" i="3"/>
  <c r="AG15" i="3"/>
  <c r="N15" i="3"/>
  <c r="M15" i="3"/>
  <c r="L15" i="3"/>
  <c r="J15" i="3"/>
  <c r="I15" i="3"/>
  <c r="BF14" i="3"/>
  <c r="AL14" i="3"/>
  <c r="AI14" i="3" s="1"/>
  <c r="AK14" i="3"/>
  <c r="AJ14" i="3"/>
  <c r="AH14" i="3"/>
  <c r="AG14" i="3"/>
  <c r="N14" i="3"/>
  <c r="K14" i="3" s="1"/>
  <c r="M14" i="3"/>
  <c r="L14" i="3"/>
  <c r="J14" i="3"/>
  <c r="I14" i="3"/>
  <c r="BF13" i="3"/>
  <c r="AL13" i="3"/>
  <c r="AK13" i="3"/>
  <c r="AJ13" i="3"/>
  <c r="AH13" i="3"/>
  <c r="AG13" i="3"/>
  <c r="N13" i="3"/>
  <c r="K13" i="3" s="1"/>
  <c r="M13" i="3"/>
  <c r="L13" i="3"/>
  <c r="J13" i="3"/>
  <c r="I13" i="3"/>
  <c r="BF12" i="3"/>
  <c r="AL12" i="3"/>
  <c r="AI12" i="3" s="1"/>
  <c r="AK12" i="3"/>
  <c r="AJ12" i="3"/>
  <c r="AH12" i="3"/>
  <c r="AG12" i="3"/>
  <c r="N12" i="3"/>
  <c r="K12" i="3" s="1"/>
  <c r="M12" i="3"/>
  <c r="L12" i="3"/>
  <c r="J12" i="3"/>
  <c r="I12" i="3"/>
  <c r="BF11" i="3"/>
  <c r="AL11" i="3"/>
  <c r="AI11" i="3" s="1"/>
  <c r="AK11" i="3"/>
  <c r="AJ11" i="3"/>
  <c r="AH11" i="3"/>
  <c r="AG11" i="3"/>
  <c r="N11" i="3"/>
  <c r="K11" i="3" s="1"/>
  <c r="M11" i="3"/>
  <c r="L11" i="3"/>
  <c r="J11" i="3"/>
  <c r="I11" i="3"/>
  <c r="BH10" i="3" a="1"/>
  <c r="BF10" i="3"/>
  <c r="AL10" i="3"/>
  <c r="AI10" i="3" s="1"/>
  <c r="AK10" i="3"/>
  <c r="AJ10" i="3"/>
  <c r="AH10" i="3"/>
  <c r="AG10" i="3"/>
  <c r="N10" i="3"/>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I7" i="3" s="1"/>
  <c r="AK7" i="3"/>
  <c r="AJ7" i="3"/>
  <c r="AH7" i="3"/>
  <c r="AG7" i="3"/>
  <c r="N7" i="3"/>
  <c r="K7" i="3" s="1"/>
  <c r="M7" i="3"/>
  <c r="L7" i="3"/>
  <c r="J7" i="3"/>
  <c r="I7" i="3"/>
  <c r="BF6" i="3"/>
  <c r="AL6" i="3"/>
  <c r="AI6" i="3" s="1"/>
  <c r="AK6" i="3"/>
  <c r="AJ6" i="3"/>
  <c r="AH6" i="3"/>
  <c r="AG6" i="3"/>
  <c r="N6" i="3"/>
  <c r="K6" i="3" s="1"/>
  <c r="M6" i="3"/>
  <c r="L6" i="3"/>
  <c r="J6" i="3"/>
  <c r="I6" i="3"/>
  <c r="BF5" i="3"/>
  <c r="AL5" i="3"/>
  <c r="AK5" i="3"/>
  <c r="AJ5" i="3"/>
  <c r="AH5" i="3"/>
  <c r="AG5" i="3"/>
  <c r="N5" i="3"/>
  <c r="M5" i="3"/>
  <c r="L5" i="3"/>
  <c r="J5" i="3"/>
  <c r="I5" i="3"/>
  <c r="AG1" i="3"/>
  <c r="I1" i="3"/>
  <c r="B2" i="2"/>
  <c r="B1" i="2"/>
  <c r="BJ10" i="7"/>
  <c r="BP25" i="7"/>
  <c r="BP15" i="7"/>
  <c r="BS5" i="7"/>
  <c r="BJ25" i="7"/>
  <c r="BL15" i="7"/>
  <c r="BN30" i="7"/>
  <c r="BN20" i="7"/>
  <c r="BL20" i="7"/>
  <c r="BQ30" i="7"/>
  <c r="BP20" i="7"/>
  <c r="BP5" i="7"/>
  <c r="BM25" i="7"/>
  <c r="BM15" i="7"/>
  <c r="BT15" i="7"/>
  <c r="BL15" i="3"/>
  <c r="BM15" i="3"/>
  <c r="BS5" i="3"/>
  <c r="BR15" i="3"/>
  <c r="BS35" i="3"/>
  <c r="BL30" i="3"/>
  <c r="BM5" i="3"/>
  <c r="BS20" i="3"/>
  <c r="BQ25" i="3"/>
  <c r="BP35" i="3"/>
  <c r="BT35" i="3"/>
  <c r="BT10" i="3"/>
  <c r="BN20" i="3"/>
  <c r="BN15" i="3"/>
  <c r="BN25" i="3"/>
  <c r="BQ5" i="3"/>
  <c r="BS30" i="7"/>
  <c r="BQ35" i="7"/>
  <c r="BR25" i="7"/>
  <c r="BM30" i="7"/>
  <c r="BR10" i="7"/>
  <c r="BT20" i="3"/>
  <c r="BL35" i="3"/>
  <c r="BK5" i="3"/>
  <c r="BJ15" i="3"/>
  <c r="BP30" i="3"/>
  <c r="BQ20" i="3"/>
  <c r="BP35" i="7"/>
  <c r="BT30" i="7"/>
  <c r="BN5" i="7"/>
  <c r="BL5" i="7"/>
  <c r="BS25" i="7"/>
  <c r="BQ25" i="7"/>
  <c r="BR5" i="7"/>
  <c r="BQ20" i="7"/>
  <c r="BS10" i="7"/>
  <c r="BT35" i="7"/>
  <c r="BQ5" i="7"/>
  <c r="BT10" i="7"/>
  <c r="BJ30" i="7"/>
  <c r="BN10" i="7"/>
  <c r="BK20" i="7"/>
  <c r="BT5" i="7"/>
  <c r="BT5" i="3"/>
  <c r="BN35" i="3"/>
  <c r="BN30" i="3"/>
  <c r="BN10" i="3"/>
  <c r="BL10" i="3"/>
  <c r="BP20" i="3"/>
  <c r="BR30" i="3"/>
  <c r="BP15" i="3"/>
  <c r="BS15" i="3"/>
  <c r="BJ10" i="3"/>
  <c r="BS25" i="3"/>
  <c r="BP25" i="3"/>
  <c r="BQ10" i="3"/>
  <c r="BT25" i="3"/>
  <c r="BL20" i="3"/>
  <c r="BQ15" i="7"/>
  <c r="BL35" i="7"/>
  <c r="BM10" i="7"/>
  <c r="BT25" i="7"/>
  <c r="BN35" i="7"/>
  <c r="BQ35" i="3"/>
  <c r="BP10" i="3"/>
  <c r="BP5" i="3"/>
  <c r="BR35" i="3"/>
  <c r="BM10" i="3"/>
  <c r="BK25" i="3"/>
  <c r="BN25" i="7"/>
  <c r="BN15" i="7"/>
  <c r="BL30" i="7"/>
  <c r="BR20" i="7"/>
  <c r="BR35" i="7"/>
  <c r="BR30" i="7"/>
  <c r="BK30" i="7"/>
  <c r="BS35" i="7"/>
  <c r="BM35" i="7"/>
  <c r="BP10" i="7"/>
  <c r="BQ10" i="7"/>
  <c r="BM5" i="7"/>
  <c r="BR15" i="7"/>
  <c r="BP30" i="7"/>
  <c r="BM20" i="7"/>
  <c r="BQ30" i="3"/>
  <c r="BR5" i="3"/>
  <c r="BM25" i="3"/>
  <c r="BM20" i="3"/>
  <c r="BQ15" i="3"/>
  <c r="BR20" i="3"/>
  <c r="BR10" i="3"/>
  <c r="BS10" i="3"/>
  <c r="BN5" i="3"/>
  <c r="BM30" i="3"/>
  <c r="BR25" i="3"/>
  <c r="BK20" i="3"/>
  <c r="BL5" i="3"/>
  <c r="BM35" i="3"/>
  <c r="BJ20" i="3"/>
  <c r="BS20" i="7"/>
  <c r="BT20" i="7"/>
  <c r="BS15" i="7"/>
  <c r="BL25" i="7"/>
  <c r="BL10" i="7"/>
  <c r="BT15" i="3"/>
  <c r="BT30" i="3"/>
  <c r="BS30" i="3"/>
  <c r="BL25" i="3"/>
  <c r="BG26" i="7" l="1"/>
  <c r="AJ42" i="3"/>
  <c r="AK42" i="7"/>
  <c r="BG10" i="3"/>
  <c r="AK40" i="3"/>
  <c r="BG38" i="3"/>
  <c r="BE39" i="7"/>
  <c r="BG37" i="7"/>
  <c r="AJ41" i="7"/>
  <c r="BG5" i="7"/>
  <c r="BG8" i="7"/>
  <c r="BG36" i="7"/>
  <c r="BG14" i="7"/>
  <c r="AJ42" i="7"/>
  <c r="BG6" i="6"/>
  <c r="BG10" i="6"/>
  <c r="AG14" i="6"/>
  <c r="AJ12" i="6"/>
  <c r="BB6" i="6"/>
  <c r="BD6" i="6"/>
  <c r="BB8" i="6"/>
  <c r="BD10" i="6"/>
  <c r="BE8" i="5"/>
  <c r="AJ12" i="5"/>
  <c r="BE12" i="5" s="1"/>
  <c r="BB7" i="5"/>
  <c r="BE10" i="5"/>
  <c r="AJ41" i="3"/>
  <c r="AH43" i="3"/>
  <c r="AJ40" i="3"/>
  <c r="AH42" i="3"/>
  <c r="AH41" i="3"/>
  <c r="BG16" i="3"/>
  <c r="BG24" i="3"/>
  <c r="AK41" i="3"/>
  <c r="M12" i="5"/>
  <c r="BD8" i="5"/>
  <c r="BB10" i="5"/>
  <c r="BF6" i="5"/>
  <c r="BE7" i="5"/>
  <c r="K5" i="7"/>
  <c r="J41" i="7"/>
  <c r="K26" i="7"/>
  <c r="BG32" i="7"/>
  <c r="BG38" i="7"/>
  <c r="K8" i="7"/>
  <c r="BE8" i="7" s="1"/>
  <c r="BH5" i="7"/>
  <c r="K18" i="7"/>
  <c r="BH30" i="7"/>
  <c r="BG7" i="6"/>
  <c r="BB8" i="5"/>
  <c r="BH15" i="3"/>
  <c r="K24" i="3"/>
  <c r="BE24" i="3" s="1"/>
  <c r="BG9" i="3"/>
  <c r="K10" i="3"/>
  <c r="BE10" i="3" s="1"/>
  <c r="BH10" i="3"/>
  <c r="K16" i="3"/>
  <c r="BG37" i="3"/>
  <c r="K38" i="3"/>
  <c r="BE38" i="3" s="1"/>
  <c r="BE10" i="7"/>
  <c r="BE12" i="7"/>
  <c r="BG20" i="7"/>
  <c r="BE22" i="7"/>
  <c r="BG28" i="7"/>
  <c r="BB45" i="7"/>
  <c r="BA47" i="7"/>
  <c r="BE6" i="7"/>
  <c r="BG10" i="7"/>
  <c r="BE16" i="7"/>
  <c r="BG22" i="7"/>
  <c r="BE24" i="7"/>
  <c r="BG30" i="7"/>
  <c r="BG34" i="7"/>
  <c r="BC45" i="7"/>
  <c r="BB47" i="7"/>
  <c r="BG6" i="7"/>
  <c r="BG9" i="7"/>
  <c r="BG16" i="7"/>
  <c r="BE18" i="7"/>
  <c r="BG21" i="7"/>
  <c r="BG24" i="7"/>
  <c r="BE26" i="7"/>
  <c r="BG29" i="7"/>
  <c r="BE32" i="7"/>
  <c r="K36" i="7"/>
  <c r="BE36" i="7" s="1"/>
  <c r="AZ45" i="7"/>
  <c r="BC47" i="7"/>
  <c r="BE9" i="7"/>
  <c r="BG13" i="7"/>
  <c r="BE20" i="7"/>
  <c r="BE28" i="7"/>
  <c r="L42" i="7"/>
  <c r="BH35" i="7"/>
  <c r="AZ47" i="7"/>
  <c r="J15" i="6"/>
  <c r="BB15" i="6" s="1"/>
  <c r="BE12" i="6"/>
  <c r="BB7" i="6"/>
  <c r="BD13" i="6"/>
  <c r="BG11" i="6"/>
  <c r="AY17" i="6"/>
  <c r="AY19" i="6"/>
  <c r="AW17" i="6"/>
  <c r="AW19" i="6"/>
  <c r="AX17" i="6"/>
  <c r="AX19" i="6"/>
  <c r="L12" i="6"/>
  <c r="BD12" i="6" s="1"/>
  <c r="BF5" i="6"/>
  <c r="BE6" i="6"/>
  <c r="BD7" i="6"/>
  <c r="BG8" i="6"/>
  <c r="J14" i="6"/>
  <c r="BB14" i="6" s="1"/>
  <c r="AZ17" i="6"/>
  <c r="AZ19" i="6"/>
  <c r="AZ17" i="5"/>
  <c r="AZ19" i="5"/>
  <c r="AW17" i="5"/>
  <c r="AW19" i="5"/>
  <c r="J12" i="5"/>
  <c r="BB12" i="5" s="1"/>
  <c r="AX17" i="5"/>
  <c r="AX19" i="5"/>
  <c r="L12" i="5"/>
  <c r="BD12" i="5" s="1"/>
  <c r="BD6" i="5"/>
  <c r="BG8" i="5"/>
  <c r="BE13" i="5"/>
  <c r="J14" i="5"/>
  <c r="AY17" i="5"/>
  <c r="AY19" i="5"/>
  <c r="BE6" i="3"/>
  <c r="BE12" i="3"/>
  <c r="BG18" i="3"/>
  <c r="BE20" i="3"/>
  <c r="BG26" i="3"/>
  <c r="BE28" i="3"/>
  <c r="BG32" i="3"/>
  <c r="BE34" i="3"/>
  <c r="BA45" i="3"/>
  <c r="BG6" i="3"/>
  <c r="BE8" i="3"/>
  <c r="BG12" i="3"/>
  <c r="BE14" i="3"/>
  <c r="BG17" i="3"/>
  <c r="BG20" i="3"/>
  <c r="BE22" i="3"/>
  <c r="J41" i="3"/>
  <c r="BG25" i="3"/>
  <c r="BG28" i="3"/>
  <c r="M42" i="3"/>
  <c r="BE31" i="3"/>
  <c r="BG34" i="3"/>
  <c r="BE36" i="3"/>
  <c r="BE39" i="3"/>
  <c r="BA47" i="3"/>
  <c r="J40" i="3"/>
  <c r="BG5" i="3"/>
  <c r="BG8" i="3"/>
  <c r="BG14" i="3"/>
  <c r="BE16" i="3"/>
  <c r="BG22" i="3"/>
  <c r="L41" i="3"/>
  <c r="BE27" i="3"/>
  <c r="J42" i="3"/>
  <c r="BG30" i="3"/>
  <c r="BG33" i="3"/>
  <c r="BG36" i="3"/>
  <c r="BC45" i="3"/>
  <c r="L43" i="3"/>
  <c r="BG13" i="3"/>
  <c r="BE18" i="3"/>
  <c r="BG21" i="3"/>
  <c r="M41" i="3"/>
  <c r="BE26" i="3"/>
  <c r="BG29" i="3"/>
  <c r="BH30" i="3"/>
  <c r="BE32" i="3"/>
  <c r="L42" i="3"/>
  <c r="BH35" i="3"/>
  <c r="AZ45" i="3"/>
  <c r="BC47" i="3"/>
  <c r="BM42" i="3"/>
  <c r="F11" i="1" s="1"/>
  <c r="BL41" i="3"/>
  <c r="E10" i="1" s="1"/>
  <c r="BN42" i="3"/>
  <c r="G11" i="1" s="1"/>
  <c r="BQ41" i="7"/>
  <c r="BN40" i="3"/>
  <c r="G9" i="1" s="1"/>
  <c r="BK41" i="3"/>
  <c r="D10" i="1" s="1"/>
  <c r="BM41" i="3"/>
  <c r="F10" i="1" s="1"/>
  <c r="BJ41" i="7"/>
  <c r="C44" i="1" s="1"/>
  <c r="BM41" i="7"/>
  <c r="F44" i="1" s="1"/>
  <c r="BL42" i="7"/>
  <c r="E45" i="1" s="1"/>
  <c r="BL43" i="3"/>
  <c r="E12" i="1" s="1"/>
  <c r="BP41" i="7"/>
  <c r="BT41" i="7"/>
  <c r="BN42" i="7"/>
  <c r="G45" i="1" s="1"/>
  <c r="BM43" i="3"/>
  <c r="F12" i="1" s="1"/>
  <c r="BL41" i="7"/>
  <c r="E44" i="1" s="1"/>
  <c r="BP40" i="3"/>
  <c r="BT40" i="3"/>
  <c r="L9" i="1" s="1"/>
  <c r="BN41" i="3"/>
  <c r="G10" i="1" s="1"/>
  <c r="BL42" i="3"/>
  <c r="E11" i="1" s="1"/>
  <c r="BN41" i="7"/>
  <c r="G44" i="1" s="1"/>
  <c r="BM42" i="7"/>
  <c r="F45" i="1" s="1"/>
  <c r="BS41" i="3"/>
  <c r="K10" i="1" s="1"/>
  <c r="BN43" i="3"/>
  <c r="G12" i="1" s="1"/>
  <c r="BS40" i="3"/>
  <c r="BS42" i="3"/>
  <c r="BE23" i="3"/>
  <c r="BE7" i="3"/>
  <c r="BE11" i="3"/>
  <c r="BE19" i="3"/>
  <c r="BE30" i="3"/>
  <c r="L40" i="3"/>
  <c r="AJ43" i="3"/>
  <c r="BC9" i="5"/>
  <c r="M43" i="3"/>
  <c r="AI5" i="3"/>
  <c r="BH5" i="3" a="1"/>
  <c r="BH5" i="3" s="1"/>
  <c r="BR43" i="3"/>
  <c r="BG7" i="3"/>
  <c r="AI9" i="3"/>
  <c r="BE9" i="3" s="1"/>
  <c r="BG11" i="3"/>
  <c r="AI13" i="3"/>
  <c r="BE13" i="3" s="1"/>
  <c r="K15" i="3"/>
  <c r="BG15" i="3"/>
  <c r="AI17" i="3"/>
  <c r="BE17" i="3" s="1"/>
  <c r="BG19" i="3"/>
  <c r="AI21" i="3"/>
  <c r="BE21" i="3" s="1"/>
  <c r="BG23" i="3"/>
  <c r="AI25" i="3"/>
  <c r="BH25" i="3" a="1"/>
  <c r="BH25" i="3" s="1"/>
  <c r="BH41" i="3" s="1"/>
  <c r="BG27" i="3"/>
  <c r="AI29" i="3"/>
  <c r="BE29" i="3" s="1"/>
  <c r="BG31" i="3"/>
  <c r="AI33" i="3"/>
  <c r="BE33" i="3" s="1"/>
  <c r="K35" i="3"/>
  <c r="BG35" i="3"/>
  <c r="AI37" i="3"/>
  <c r="BE37" i="3" s="1"/>
  <c r="BG39" i="3"/>
  <c r="M40" i="3"/>
  <c r="BP41" i="3"/>
  <c r="BT41" i="3"/>
  <c r="J43" i="3"/>
  <c r="BQ43" i="3"/>
  <c r="AZ47" i="3"/>
  <c r="BR42" i="3"/>
  <c r="BH20" i="3" a="1"/>
  <c r="BH20" i="3" s="1"/>
  <c r="AK42" i="3"/>
  <c r="BP42" i="3"/>
  <c r="BT42" i="3"/>
  <c r="AH40" i="3"/>
  <c r="BL40" i="3"/>
  <c r="E9" i="1" s="1"/>
  <c r="BQ40" i="3"/>
  <c r="BQ41" i="3"/>
  <c r="BS43" i="3"/>
  <c r="BD14" i="5"/>
  <c r="BC8" i="6"/>
  <c r="K5" i="3"/>
  <c r="AK43" i="3"/>
  <c r="BP43" i="3"/>
  <c r="BT43" i="3"/>
  <c r="AI15" i="3"/>
  <c r="K25" i="3"/>
  <c r="K41" i="3" s="1"/>
  <c r="AI35" i="3"/>
  <c r="BM40" i="3"/>
  <c r="F9" i="1" s="1"/>
  <c r="BR40" i="3"/>
  <c r="BR41" i="3"/>
  <c r="BQ42" i="3"/>
  <c r="BB47" i="3"/>
  <c r="BD13" i="5"/>
  <c r="BD5" i="5"/>
  <c r="BG5" i="5" a="1"/>
  <c r="BG5" i="5" s="1"/>
  <c r="BF7" i="5"/>
  <c r="BD9" i="5"/>
  <c r="BG9" i="5" a="1"/>
  <c r="BG9" i="5" s="1"/>
  <c r="BG13" i="5" s="1"/>
  <c r="BF11" i="5"/>
  <c r="J13" i="5"/>
  <c r="BB13" i="5" s="1"/>
  <c r="M14" i="5"/>
  <c r="AJ14" i="5"/>
  <c r="L15" i="5"/>
  <c r="AI15" i="5"/>
  <c r="BF6" i="6"/>
  <c r="BB10" i="6"/>
  <c r="BF10" i="6"/>
  <c r="J12" i="6"/>
  <c r="AG12" i="6"/>
  <c r="M13" i="6"/>
  <c r="BE13" i="6" s="1"/>
  <c r="L14" i="6"/>
  <c r="AI14" i="6"/>
  <c r="AK43" i="7"/>
  <c r="AK40" i="7"/>
  <c r="BL43" i="7"/>
  <c r="E46" i="1" s="1"/>
  <c r="BL40" i="7"/>
  <c r="E43" i="1" s="1"/>
  <c r="BQ43" i="7"/>
  <c r="BQ40" i="7"/>
  <c r="BE11" i="7"/>
  <c r="BH15" i="7" a="1"/>
  <c r="BH15" i="7" s="1"/>
  <c r="AI15" i="7"/>
  <c r="BE15" i="7" s="1"/>
  <c r="AI19" i="7"/>
  <c r="BE19" i="7" s="1"/>
  <c r="BG19" i="7"/>
  <c r="L41" i="7"/>
  <c r="BS41" i="7"/>
  <c r="BE5" i="5"/>
  <c r="BG6" i="5" a="1"/>
  <c r="BG6" i="5" s="1"/>
  <c r="K7" i="5"/>
  <c r="K12" i="5" s="1"/>
  <c r="AH8" i="5"/>
  <c r="BC8" i="5" s="1"/>
  <c r="BF8" i="5"/>
  <c r="BE9" i="5"/>
  <c r="BD10" i="5"/>
  <c r="BG10" i="5" a="1"/>
  <c r="BG10" i="5" s="1"/>
  <c r="BG14" i="5" s="1"/>
  <c r="K11" i="5"/>
  <c r="AH13" i="5"/>
  <c r="BC13" i="5" s="1"/>
  <c r="AG14" i="5"/>
  <c r="BB14" i="5" s="1"/>
  <c r="M15" i="5"/>
  <c r="AJ15" i="5"/>
  <c r="BD5" i="6"/>
  <c r="BG5" i="6" a="1"/>
  <c r="BG5" i="6" s="1"/>
  <c r="K6" i="6"/>
  <c r="BC6" i="6" s="1"/>
  <c r="AH7" i="6"/>
  <c r="BC7" i="6" s="1"/>
  <c r="BF7" i="6"/>
  <c r="BD9" i="6"/>
  <c r="BG9" i="6" a="1"/>
  <c r="BG9" i="6" s="1"/>
  <c r="BG13" i="6" s="1"/>
  <c r="K10" i="6"/>
  <c r="K14" i="6" s="1"/>
  <c r="AH11" i="6"/>
  <c r="BC11" i="6" s="1"/>
  <c r="BB11" i="6"/>
  <c r="BF11" i="6"/>
  <c r="AG13" i="6"/>
  <c r="BB13" i="6" s="1"/>
  <c r="AJ14" i="6"/>
  <c r="BE14" i="6" s="1"/>
  <c r="L15" i="6"/>
  <c r="AI15" i="6"/>
  <c r="BD15" i="6" s="1"/>
  <c r="L40" i="7"/>
  <c r="L43" i="7"/>
  <c r="AH43" i="7"/>
  <c r="AH40" i="7"/>
  <c r="BM40" i="7"/>
  <c r="F43" i="1" s="1"/>
  <c r="BM43" i="7"/>
  <c r="F46" i="1" s="1"/>
  <c r="BR43" i="7"/>
  <c r="BR40" i="7"/>
  <c r="BE7" i="7"/>
  <c r="BG12" i="7"/>
  <c r="AI13" i="7"/>
  <c r="BE13" i="7" s="1"/>
  <c r="K14" i="7"/>
  <c r="BH20" i="7" a="1"/>
  <c r="BH20" i="7" s="1"/>
  <c r="AI23" i="7"/>
  <c r="BE23" i="7" s="1"/>
  <c r="BG23" i="7"/>
  <c r="AI27" i="7"/>
  <c r="BE27" i="7" s="1"/>
  <c r="BG27" i="7"/>
  <c r="BB5" i="5"/>
  <c r="BF5" i="5"/>
  <c r="BF9" i="5"/>
  <c r="J15" i="5"/>
  <c r="AG15" i="5"/>
  <c r="BE5" i="6"/>
  <c r="BF8" i="6"/>
  <c r="M15" i="6"/>
  <c r="AJ15" i="6"/>
  <c r="M43" i="7"/>
  <c r="M40" i="7"/>
  <c r="BE5" i="7"/>
  <c r="BN43" i="7"/>
  <c r="G46" i="1" s="1"/>
  <c r="BN40" i="7"/>
  <c r="G43" i="1" s="1"/>
  <c r="BS40" i="7"/>
  <c r="BS43" i="7"/>
  <c r="BG11" i="7"/>
  <c r="BG15" i="7"/>
  <c r="BG17" i="7"/>
  <c r="AI17" i="7"/>
  <c r="BE17" i="7" s="1"/>
  <c r="K25" i="7"/>
  <c r="BC5" i="5"/>
  <c r="AH6" i="5"/>
  <c r="BC6" i="5" s="1"/>
  <c r="AH10" i="5"/>
  <c r="AH5" i="6"/>
  <c r="BB5" i="6"/>
  <c r="AH9" i="6"/>
  <c r="J43" i="7"/>
  <c r="J40" i="7"/>
  <c r="AJ43" i="7"/>
  <c r="AJ40" i="7"/>
  <c r="BG7" i="7"/>
  <c r="BH10" i="7" a="1"/>
  <c r="BH10" i="7" s="1"/>
  <c r="BG25" i="7"/>
  <c r="AI21" i="7"/>
  <c r="BE21" i="7" s="1"/>
  <c r="M41" i="7"/>
  <c r="AI25" i="7"/>
  <c r="BH25" i="7" a="1"/>
  <c r="BH25" i="7" s="1"/>
  <c r="BH41" i="7" s="1"/>
  <c r="AI29" i="7"/>
  <c r="BE29" i="7" s="1"/>
  <c r="J42" i="7"/>
  <c r="BG31" i="7"/>
  <c r="BE33" i="7"/>
  <c r="K35" i="7"/>
  <c r="K42" i="7" s="1"/>
  <c r="BP42" i="7"/>
  <c r="BT42" i="7"/>
  <c r="BG33" i="7"/>
  <c r="BR42" i="7"/>
  <c r="BP43" i="7"/>
  <c r="BP40" i="7"/>
  <c r="BT43" i="7"/>
  <c r="BT40" i="7"/>
  <c r="AK41" i="7"/>
  <c r="AH42" i="7"/>
  <c r="BQ42" i="7"/>
  <c r="AI31" i="7"/>
  <c r="BE31" i="7" s="1"/>
  <c r="AI34" i="7"/>
  <c r="BE34" i="7" s="1"/>
  <c r="BG35" i="7"/>
  <c r="AI38" i="7"/>
  <c r="BE38" i="7" s="1"/>
  <c r="BG39" i="7"/>
  <c r="BS42" i="7"/>
  <c r="AH41" i="7"/>
  <c r="M42" i="7"/>
  <c r="BE30" i="7"/>
  <c r="BE37" i="7"/>
  <c r="BR41" i="7"/>
  <c r="BK35" i="7"/>
  <c r="BK15" i="7"/>
  <c r="BK35" i="3"/>
  <c r="BJ30" i="3"/>
  <c r="BJ25" i="3"/>
  <c r="BK30" i="3"/>
  <c r="BJ5" i="7"/>
  <c r="BJ15" i="7"/>
  <c r="BJ5" i="3"/>
  <c r="BJ35" i="7"/>
  <c r="BJ20" i="7"/>
  <c r="BK10" i="7"/>
  <c r="BK25" i="7"/>
  <c r="BK10" i="3"/>
  <c r="BK15" i="3"/>
  <c r="BK5" i="7"/>
  <c r="BJ35" i="3"/>
  <c r="AI40" i="7" l="1"/>
  <c r="BJ42" i="3"/>
  <c r="C11" i="1" s="1"/>
  <c r="BE35" i="3"/>
  <c r="BG14" i="6"/>
  <c r="AI42" i="3"/>
  <c r="H9" i="1"/>
  <c r="BE15" i="5"/>
  <c r="K41" i="7"/>
  <c r="BH42" i="7"/>
  <c r="BH43" i="7"/>
  <c r="K15" i="5"/>
  <c r="BH42" i="3"/>
  <c r="K42" i="3"/>
  <c r="BE42" i="3" s="1"/>
  <c r="C47" i="1"/>
  <c r="C48" i="1"/>
  <c r="K43" i="7"/>
  <c r="K40" i="7"/>
  <c r="BE40" i="7" s="1"/>
  <c r="I44" i="1"/>
  <c r="C36" i="1"/>
  <c r="C35" i="1"/>
  <c r="D31" i="1"/>
  <c r="BB12" i="6"/>
  <c r="K12" i="6"/>
  <c r="D20" i="1"/>
  <c r="C24" i="1"/>
  <c r="C23" i="1"/>
  <c r="D19" i="1"/>
  <c r="BE15" i="3"/>
  <c r="BJ42" i="7"/>
  <c r="C45" i="1" s="1"/>
  <c r="BK43" i="3"/>
  <c r="D12" i="1" s="1"/>
  <c r="BK40" i="3"/>
  <c r="D9" i="1" s="1"/>
  <c r="BK41" i="7"/>
  <c r="D44" i="1" s="1"/>
  <c r="BK42" i="7"/>
  <c r="D45" i="1" s="1"/>
  <c r="BJ41" i="3"/>
  <c r="C10" i="1" s="1"/>
  <c r="BK42" i="3"/>
  <c r="D11" i="1" s="1"/>
  <c r="L44" i="1"/>
  <c r="H44" i="1"/>
  <c r="K11" i="1"/>
  <c r="K9" i="1"/>
  <c r="H46" i="1"/>
  <c r="D22" i="1"/>
  <c r="I43" i="1"/>
  <c r="BJ43" i="3"/>
  <c r="C12" i="1" s="1"/>
  <c r="BJ40" i="3"/>
  <c r="C9" i="1" s="1"/>
  <c r="I45" i="1"/>
  <c r="L43" i="1"/>
  <c r="AH13" i="6"/>
  <c r="BC13" i="6" s="1"/>
  <c r="BC9" i="6"/>
  <c r="K46" i="1"/>
  <c r="BE35" i="7"/>
  <c r="I46" i="1"/>
  <c r="BD14" i="6"/>
  <c r="BD15" i="5"/>
  <c r="BH40" i="7"/>
  <c r="I11" i="1"/>
  <c r="K43" i="3"/>
  <c r="K40" i="3"/>
  <c r="E33" i="1"/>
  <c r="BC11" i="5"/>
  <c r="I10" i="1"/>
  <c r="L11" i="1"/>
  <c r="J11" i="1"/>
  <c r="BH43" i="3"/>
  <c r="BH40" i="3"/>
  <c r="L45" i="1"/>
  <c r="AI41" i="7"/>
  <c r="BE41" i="7" s="1"/>
  <c r="BE25" i="7"/>
  <c r="J46" i="1"/>
  <c r="E20" i="1"/>
  <c r="K12" i="1"/>
  <c r="I12" i="1"/>
  <c r="L46" i="1"/>
  <c r="H45" i="1"/>
  <c r="D33" i="1"/>
  <c r="BG15" i="6"/>
  <c r="BG12" i="6"/>
  <c r="E21" i="1"/>
  <c r="K44" i="1"/>
  <c r="AH12" i="5"/>
  <c r="BC12" i="5" s="1"/>
  <c r="K14" i="5"/>
  <c r="J10" i="1"/>
  <c r="H12" i="1"/>
  <c r="I9" i="1"/>
  <c r="L10" i="1"/>
  <c r="AI43" i="3"/>
  <c r="AI40" i="3"/>
  <c r="BE40" i="3" s="1"/>
  <c r="BE5" i="3"/>
  <c r="BE14" i="7"/>
  <c r="J44" i="1"/>
  <c r="AH14" i="5"/>
  <c r="BC10" i="5"/>
  <c r="AI42" i="7"/>
  <c r="BE42" i="7" s="1"/>
  <c r="K15" i="6"/>
  <c r="C14" i="1"/>
  <c r="L12" i="1"/>
  <c r="D32" i="1"/>
  <c r="AH15" i="5"/>
  <c r="BC15" i="5" s="1"/>
  <c r="K45" i="1"/>
  <c r="J45" i="1"/>
  <c r="BK43" i="7"/>
  <c r="D46" i="1" s="1"/>
  <c r="BK40" i="7"/>
  <c r="D43" i="1" s="1"/>
  <c r="K43" i="1"/>
  <c r="H43" i="1"/>
  <c r="BJ40" i="7"/>
  <c r="C43" i="1" s="1"/>
  <c r="BJ43" i="7"/>
  <c r="C46" i="1" s="1"/>
  <c r="AH12" i="6"/>
  <c r="AH15" i="6"/>
  <c r="BC5" i="6"/>
  <c r="AI43" i="7"/>
  <c r="BE43" i="7" s="1"/>
  <c r="BE15" i="6"/>
  <c r="BB15" i="5"/>
  <c r="J43" i="1"/>
  <c r="E32" i="1"/>
  <c r="BC10" i="6"/>
  <c r="C20" i="1"/>
  <c r="BE14" i="5"/>
  <c r="BG12" i="5"/>
  <c r="BG15" i="5"/>
  <c r="E34" i="1"/>
  <c r="E19" i="1"/>
  <c r="J9" i="1"/>
  <c r="BC7" i="5"/>
  <c r="H11" i="1"/>
  <c r="AH14" i="6"/>
  <c r="BC14" i="6" s="1"/>
  <c r="C13" i="1"/>
  <c r="H10" i="1"/>
  <c r="AI41" i="3"/>
  <c r="BE41" i="3" s="1"/>
  <c r="BE25" i="3"/>
  <c r="J12" i="1"/>
  <c r="E31" i="1" l="1"/>
  <c r="BC15" i="6"/>
  <c r="BC12" i="6"/>
  <c r="D34" i="1"/>
  <c r="C31" i="1"/>
  <c r="C22" i="1"/>
  <c r="BE43" i="3"/>
  <c r="C32" i="1"/>
  <c r="C33" i="1"/>
  <c r="D21" i="1"/>
  <c r="E22" i="1"/>
  <c r="BC14" i="5"/>
  <c r="C19" i="1"/>
  <c r="C34" i="1" l="1"/>
  <c r="C21"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<sst xmlns="http://schemas.openxmlformats.org/spreadsheetml/2006/main" count="1459" uniqueCount="575">
  <si>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</si>
  <si>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</si>
  <si>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</si>
  <si>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</si>
  <si>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</si>
  <si>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</si>
  <si>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</si>
  <si>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</si>
  <si>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</si>
  <si>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</si>
  <si>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</si>
  <si>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</si>
  <si>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</si>
  <si>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</si>
  <si>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</si>
  <si>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</si>
  <si>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</si>
  <si>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</si>
  <si>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</si>
  <si>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</si>
  <si>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</si>
  <si>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</si>
  <si>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</si>
  <si>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</si>
  <si>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</si>
  <si>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</si>
  <si>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</si>
  <si>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</si>
  <si>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</si>
  <si>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</si>
  <si>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</si>
  <si>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</si>
  <si>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</si>
  <si>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</si>
  <si>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</si>
  <si>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</si>
  <si>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</si>
  <si>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</si>
  <si>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</si>
  <si>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</si>
  <si>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</si>
  <si>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</si>
  <si>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</si>
  <si>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</si>
  <si>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</si>
  <si>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</si>
  <si>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</si>
  <si>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</si>
  <si>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</si>
  <si>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</si>
  <si>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</si>
  <si>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</si>
  <si>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</si>
  <si>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</si>
  <si>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</si>
  <si>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</si>
  <si>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</si>
  <si>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</si>
  <si>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</si>
  <si>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</si>
  <si>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</si>
  <si>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</si>
  <si>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</si>
  <si>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</si>
  <si>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</si>
  <si>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</si>
  <si>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</si>
  <si>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</si>
  <si>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</si>
  <si>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</si>
  <si>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</si>
  <si>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</si>
  <si>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</si>
  <si>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</si>
  <si>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</si>
  <si>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</si>
  <si>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</si>
  <si>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</si>
  <si>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</si>
  <si>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</si>
  <si>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</si>
  <si>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</si>
  <si>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</si>
  <si>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</si>
  <si>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</si>
  <si>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</si>
  <si>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</si>
  <si>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</si>
  <si>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</si>
  <si>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</si>
  <si>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</si>
  <si>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</si>
  <si>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</si>
  <si>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</si>
  <si>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</si>
  <si>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</si>
  <si>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</si>
  <si>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</si>
  <si>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</si>
  <si>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</si>
  <si>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</si>
  <si>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</si>
  <si>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</si>
  <si>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</si>
  <si>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</si>
  <si>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</si>
  <si>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</si>
  <si>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</si>
  <si>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</si>
  <si>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</si>
  <si>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</si>
  <si>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</si>
  <si>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</si>
  <si>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</si>
  <si>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</si>
  <si>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</si>
  <si>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</si>
  <si>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</si>
  <si>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</si>
  <si>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</si>
  <si>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</si>
  <si>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</si>
  <si>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</si>
  <si>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</si>
  <si>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</si>
  <si>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</si>
  <si>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</si>
  <si>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</si>
  <si>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</si>
  <si>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</si>
  <si>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</si>
  <si>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</si>
  <si>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</si>
  <si>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</si>
  <si>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</si>
  <si>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</si>
  <si>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</si>
  <si>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</si>
  <si>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</si>
  <si>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</si>
  <si>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</si>
  <si>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</si>
  <si>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</si>
  <si>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</si>
  <si>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</si>
  <si>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</si>
  <si>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</si>
  <si>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</si>
  <si>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</si>
  <si>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</si>
  <si>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</si>
  <si>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</si>
  <si>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</si>
  <si>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</si>
  <si>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</si>
  <si>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</si>
  <si>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</si>
  <si>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</si>
  <si>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</si>
  <si>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</si>
  <si>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</si>
  <si>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</si>
  <si>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</si>
  <si>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</si>
  <si>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</si>
  <si>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</si>
  <si>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</si>
  <si>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</si>
  <si>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</si>
  <si>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</si>
  <si>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</si>
  <si>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</si>
  <si>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</si>
  <si>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</si>
  <si>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</si>
  <si>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</si>
  <si>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</si>
  <si>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</si>
  <si>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</si>
  <si>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</si>
  <si>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</si>
  <si>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</si>
  <si>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</si>
  <si>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</si>
  <si>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</si>
  <si>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</si>
  <si>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</si>
  <si>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</si>
  <si>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</si>
  <si>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</si>
  <si>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</si>
  <si>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</si>
  <si>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</si>
  <si>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</si>
  <si>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</si>
  <si>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</si>
  <si>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</si>
  <si>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</si>
  <si>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</si>
  <si>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</si>
  <si>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</si>
  <si>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</si>
  <si>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</si>
  <si>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</si>
  <si>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</si>
  <si>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</si>
  <si>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</si>
  <si>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</si>
  <si>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</si>
  <si>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</si>
  <si>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</si>
  <si>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</si>
  <si>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</si>
  <si>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</si>
  <si>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</si>
  <si>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</si>
  <si>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</si>
  <si>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</si>
  <si>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</si>
  <si>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</si>
  <si>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</si>
  <si>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</si>
  <si>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</si>
  <si>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</si>
  <si>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</si>
  <si>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</si>
  <si>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</si>
  <si>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</si>
  <si>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</si>
  <si>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</si>
  <si>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</si>
  <si>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</si>
  <si>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</si>
  <si>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</si>
  <si>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</si>
  <si>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</si>
  <si>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</si>
  <si>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</si>
  <si>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</si>
  <si>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</si>
  <si>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</si>
  <si>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</si>
  <si>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</si>
  <si>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</si>
  <si>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</si>
  <si>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</si>
  <si>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</si>
  <si>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</si>
  <si>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</si>
  <si>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</si>
  <si>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</si>
  <si>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</si>
  <si>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</si>
  <si>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</si>
  <si>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</si>
  <si>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</si>
  <si>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</si>
  <si>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</si>
  <si>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</si>
  <si>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</si>
  <si>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</si>
  <si>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</si>
  <si>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</si>
  <si>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</si>
  <si>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</si>
  <si>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</si>
  <si>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</si>
  <si>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</si>
  <si>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</si>
  <si>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</si>
  <si>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</si>
  <si>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</si>
  <si>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</si>
  <si>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</si>
  <si>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</si>
  <si>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</si>
  <si>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</si>
  <si>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</si>
  <si>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</si>
  <si>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</si>
  <si>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</si>
  <si>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</si>
  <si>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</si>
  <si>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</si>
  <si>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</si>
  <si>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</si>
  <si>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</si>
  <si>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</si>
  <si>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</si>
  <si>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</si>
  <si>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</si>
  <si>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</si>
  <si>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</si>
  <si>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</si>
  <si>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</si>
  <si>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</si>
  <si>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</si>
  <si>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</si>
  <si>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</si>
  <si>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</si>
  <si>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</si>
  <si>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</si>
  <si>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</si>
  <si>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</si>
  <si>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</si>
  <si>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</si>
  <si>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</si>
  <si>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</si>
  <si>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</si>
  <si>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</si>
  <si>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</si>
  <si>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</si>
  <si>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</si>
  <si>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</si>
  <si>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</si>
  <si>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</si>
  <si>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</si>
  <si>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</si>
  <si>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</si>
  <si>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</si>
  <si>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</si>
  <si>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</si>
  <si>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</si>
  <si>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</si>
  <si>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</si>
  <si>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</si>
  <si>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</si>
  <si>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</si>
  <si>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</si>
  <si>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</si>
  <si>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</si>
  <si>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</si>
  <si>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</si>
  <si>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</si>
  <si>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</si>
  <si>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</si>
  <si>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</si>
  <si>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</si>
  <si>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</si>
  <si>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</si>
  <si>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</si>
  <si>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</si>
  <si>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</si>
  <si>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</si>
  <si>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</si>
  <si>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</si>
  <si>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</si>
  <si>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</si>
  <si>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</si>
  <si>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</si>
  <si>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</si>
  <si>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</si>
  <si>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</si>
  <si>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</si>
  <si>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</si>
  <si>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</si>
  <si>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</si>
  <si>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</si>
  <si>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</si>
  <si>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</si>
  <si>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</si>
  <si>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</si>
  <si>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</si>
  <si>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</si>
  <si>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</si>
  <si>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</si>
  <si>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</si>
  <si>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</si>
  <si>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</si>
  <si>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</si>
  <si>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</si>
  <si>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</si>
  <si>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</si>
  <si>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</si>
  <si>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</si>
  <si>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</si>
  <si>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</si>
  <si>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</si>
  <si>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</si>
  <si>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</si>
  <si>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</si>
  <si>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</si>
  <si>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</si>
  <si>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</si>
  <si>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</si>
  <si>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</si>
  <si>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</si>
  <si>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</si>
  <si>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</si>
  <si>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</si>
  <si>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</si>
  <si>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</si>
  <si>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</si>
  <si>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</si>
  <si>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</si>
  <si>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</si>
  <si>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</si>
  <si>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</si>
  <si>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</si>
  <si>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</si>
  <si>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</si>
  <si>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</si>
  <si>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</si>
  <si>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</si>
  <si>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</si>
  <si>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</si>
  <si>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</si>
  <si>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</si>
  <si>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</si>
  <si>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</si>
  <si>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</si>
  <si>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</si>
  <si>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</si>
  <si>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</si>
  <si>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</si>
  <si>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</si>
  <si>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</si>
  <si>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</si>
  <si>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</si>
  <si>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</si>
  <si>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</si>
  <si>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</si>
  <si>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</si>
  <si>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</si>
  <si>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</si>
  <si>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</si>
  <si>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</si>
  <si>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</si>
  <si>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</si>
  <si>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</si>
  <si>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</si>
  <si>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</si>
  <si>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</si>
  <si>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</si>
  <si>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</si>
  <si>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</si>
  <si>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</si>
  <si>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</si>
  <si>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</si>
  <si>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</si>
  <si>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</si>
  <si>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</si>
  <si>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</si>
  <si>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</si>
  <si>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</si>
  <si>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</si>
  <si>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</si>
  <si>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</si>
  <si>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</si>
  <si>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</si>
  <si>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</si>
  <si>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</si>
  <si>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</si>
  <si>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</si>
  <si>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</si>
  <si>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</si>
  <si>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</si>
  <si>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</si>
  <si>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</si>
  <si>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</si>
  <si>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</si>
  <si>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</si>
  <si>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</si>
  <si>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</si>
  <si>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</si>
  <si>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</si>
  <si>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</si>
  <si>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</si>
  <si>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</si>
  <si>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</si>
  <si>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</si>
  <si>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</si>
  <si>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</si>
  <si>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</si>
  <si>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</si>
  <si>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</si>
  <si>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</si>
  <si>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</si>
  <si>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</si>
  <si>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</si>
  <si>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</si>
  <si>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</si>
  <si>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</si>
  <si>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</si>
  <si>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</si>
  <si>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</si>
  <si>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</si>
  <si>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</si>
  <si>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</si>
  <si>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</si>
  <si>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</si>
  <si>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</si>
  <si>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</si>
  <si>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</si>
  <si>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</si>
  <si>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</si>
  <si>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</si>
  <si>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</si>
  <si>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</si>
  <si>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</si>
  <si>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</si>
  <si>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</si>
  <si>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</si>
  <si>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</si>
  <si>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</si>
  <si>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</si>
  <si>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</si>
  <si>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</si>
  <si>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</si>
  <si>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</si>
  <si>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</si>
  <si>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</si>
  <si>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</si>
  <si>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</si>
  <si>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</si>
  <si>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</si>
  <si>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</si>
  <si>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</si>
  <si>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</si>
  <si>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</si>
  <si>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</si>
  <si>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</si>
  <si>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</si>
  <si>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</si>
  <si>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</si>
  <si>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</si>
  <si>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</si>
  <si>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</si>
  <si>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</si>
  <si>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</si>
  <si>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</si>
  <si>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</si>
  <si>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</si>
  <si>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</si>
  <si>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</si>
  <si>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</si>
  <si>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</si>
  <si>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</si>
  <si>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</si>
  <si>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</si>
  <si>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</si>
  <si>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</si>
  <si>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</si>
  <si>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</si>
  <si>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</si>
  <si>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</si>
  <si>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</si>
  <si>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</si>
  <si>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</si>
  <si>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</si>
  <si>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</si>
  <si>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</si>
  <si>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</si>
  <si>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</si>
  <si>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</si>
  <si>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</si>
  <si>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</si>
  <si>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</si>
  <si>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</si>
  <si>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</si>
  <si>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</si>
  <si>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</si>
  <si>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</si>
  <si>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</si>
  <si>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</si>
  <si>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</si>
  <si>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</si>
  <si>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</si>
  <si>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</si>
  <si>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</si>
  <si>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</si>
  <si>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</si>
  <si>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</si>
  <si>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</si>
  <si>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Master+r7.0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</si>
</sst>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一般"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Master+r7.0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xmlns:c16r2="http://schemas.microsoft.com/office/drawing/2015/06/chart">
            <c:ext xmlns:c16="http://schemas.microsoft.com/office/drawing/2014/chart" uri="{C3380CC4-5D6E-409C-BE32-E72D297353CC}">
              <c16:uniqueId val="{00000000-1823-4534-ADF6-A5A41AD9D9B9}"/>
            </c:ext>
          </c:extLst>
        </c:ser>
        <c:ser>
          <c:idx val="1"/>
          <c:order val="1"/>
          <c:tx>
            <c:strRef>
              <c:f>Graphs!graph_a_B_title</c:f>
              <c:strCache>
                <c:ptCount val="1"/>
                <c:pt idx="0">
                  <c:v>0</c:v>
                </c:pt>
              </c:strCache>
            </c:strRef>
          </c:tx>
          <c:spPr>
            <a:ln>
              <a:prstDash val="solid"/>
            </a:ln>
          </c:spPr>
          <c:marker>
            <c:symbol val="none"/>
          </c:marker>
          <c:xVal>
            <c:numRef>
              <c:f>Graphs!graph_a_x_range_B</c:f>
              <c:numCache>
                <c:formatCode>0.00</c:formatCode>
                <c:ptCount val="5"/>
                <c:pt idx="0">
                  <c:v>3.6470340631783917E-3</c:v>
                </c:pt>
                <c:pt idx="1">
                  <c:v>5.0507756802411503E-3</c:v>
                </c:pt>
                <c:pt idx="2">
                  <c:v>7.092914542635248E-3</c:v>
                </c:pt>
                <c:pt idx="3">
                  <c:v>1.0526231321305222E-2</c:v>
                </c:pt>
                <c:pt idx="4">
                  <c:v>1.6294145729884271E-2</c:v>
                </c:pt>
              </c:numCache>
            </c:numRef>
          </c:xVal>
          <c:yVal>
            <c:numRef>
              <c:f>Graphs!graph_a_y_range_B</c:f>
              <c:numCache>
                <c:formatCode>0.00</c:formatCode>
                <c:ptCount val="5"/>
                <c:pt idx="0">
                  <c:v>66.424962500000007</c:v>
                </c:pt>
                <c:pt idx="1">
                  <c:v>68.307209374999999</c:v>
                </c:pt>
                <c:pt idx="2">
                  <c:v>69.706671874999998</c:v>
                </c:pt>
                <c:pt idx="3">
                  <c:v>70.775609375000002</c:v>
                </c:pt>
                <c:pt idx="4">
                  <c:v>72.030784374999996</c:v>
                </c:pt>
              </c:numCache>
            </c:numRef>
          </c:yVal>
          <c:smooth val="1"/>
          <c:extLst xmlns:c16r2="http://schemas.microsoft.com/office/drawing/2015/06/chart">
            <c:ext xmlns:c16="http://schemas.microsoft.com/office/drawing/2014/chart" uri="{C3380CC4-5D6E-409C-BE32-E72D297353CC}">
              <c16:uniqueId val="{00000001-1823-4534-ADF6-A5A41AD9D9B9}"/>
            </c:ext>
          </c:extLst>
        </c:ser>
        <c:dLbls>
          <c:showLegendKey val="0"/>
          <c:showVal val="0"/>
          <c:showCatName val="0"/>
          <c:showSerName val="0"/>
          <c:showPercent val="0"/>
          <c:showBubbleSize val="0"/>
        </c:dLbls>
        <c:axId val="1276082208"/>
        <c:axId val="1276084384"/>
      </c:scatterChart>
      <c:valAx>
        <c:axId val="1276082208"/>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1276084384"/>
        <c:crosses val="autoZero"/>
        <c:crossBetween val="midCat"/>
      </c:valAx>
      <c:valAx>
        <c:axId val="1276084384"/>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127608220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Master+r7.0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xmlns:c16r2="http://schemas.microsoft.com/office/drawing/2015/06/chart">
            <c:ext xmlns:c16="http://schemas.microsoft.com/office/drawing/2014/chart" uri="{C3380CC4-5D6E-409C-BE32-E72D297353CC}">
              <c16:uniqueId val="{00000000-5CC0-499C-9180-A8B597944D9C}"/>
            </c:ext>
          </c:extLst>
        </c:ser>
        <c:ser>
          <c:idx val="1"/>
          <c:order val="1"/>
          <c:tx>
            <c:strRef>
              <c:f>Graphs!graph_b_B_title</c:f>
              <c:strCache>
                <c:ptCount val="1"/>
                <c:pt idx="0">
                  <c:v>0</c:v>
                </c:pt>
              </c:strCache>
            </c:strRef>
          </c:tx>
          <c:spPr>
            <a:ln>
              <a:prstDash val="solid"/>
            </a:ln>
          </c:spPr>
          <c:marker>
            <c:symbol val="none"/>
          </c:marker>
          <c:xVal>
            <c:numRef>
              <c:f>Graphs!graph_b_x_range_B</c:f>
              <c:numCache>
                <c:formatCode>0.00</c:formatCode>
                <c:ptCount val="5"/>
                <c:pt idx="0">
                  <c:v>3.6470340631783917E-3</c:v>
                </c:pt>
                <c:pt idx="1">
                  <c:v>5.0507756802411503E-3</c:v>
                </c:pt>
                <c:pt idx="2">
                  <c:v>7.092914542635248E-3</c:v>
                </c:pt>
                <c:pt idx="3">
                  <c:v>1.0526231321305222E-2</c:v>
                </c:pt>
                <c:pt idx="4">
                  <c:v>1.6294145729884271E-2</c:v>
                </c:pt>
              </c:numCache>
            </c:numRef>
          </c:xVal>
          <c:yVal>
            <c:numRef>
              <c:f>Graphs!graph_b_y_range_B</c:f>
              <c:numCache>
                <c:formatCode>0.00</c:formatCode>
                <c:ptCount val="5"/>
                <c:pt idx="0">
                  <c:v>68.452878124999998</c:v>
                </c:pt>
                <c:pt idx="1">
                  <c:v>70.416793749999997</c:v>
                </c:pt>
                <c:pt idx="2">
                  <c:v>72.083699999999993</c:v>
                </c:pt>
                <c:pt idx="3">
                  <c:v>73.328143749999995</c:v>
                </c:pt>
                <c:pt idx="4">
                  <c:v>75.301909374999994</c:v>
                </c:pt>
              </c:numCache>
            </c:numRef>
          </c:yVal>
          <c:smooth val="1"/>
          <c:extLst xmlns:c16r2="http://schemas.microsoft.com/office/drawing/2015/06/chart">
            <c:ext xmlns:c16="http://schemas.microsoft.com/office/drawing/2014/chart" uri="{C3380CC4-5D6E-409C-BE32-E72D297353CC}">
              <c16:uniqueId val="{00000001-5CC0-499C-9180-A8B597944D9C}"/>
            </c:ext>
          </c:extLst>
        </c:ser>
        <c:dLbls>
          <c:showLegendKey val="0"/>
          <c:showVal val="0"/>
          <c:showCatName val="0"/>
          <c:showSerName val="0"/>
          <c:showPercent val="0"/>
          <c:showBubbleSize val="0"/>
        </c:dLbls>
        <c:axId val="1276087104"/>
        <c:axId val="1276079488"/>
      </c:scatterChart>
      <c:valAx>
        <c:axId val="1276087104"/>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1276079488"/>
        <c:crosses val="autoZero"/>
        <c:crossBetween val="midCat"/>
      </c:valAx>
      <c:valAx>
        <c:axId val="1276079488"/>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127608710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Master+r7.0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32.104728125000001</c:v>
                </c:pt>
                <c:pt idx="1">
                  <c:v>34.355628125000003</c:v>
                </c:pt>
                <c:pt idx="2">
                  <c:v>36.897065625000003</c:v>
                </c:pt>
                <c:pt idx="3">
                  <c:v>39.525215625000001</c:v>
                </c:pt>
                <c:pt idx="4">
                  <c:v>42.1278875</c:v>
                </c:pt>
              </c:numCache>
            </c:numRef>
          </c:yVal>
          <c:smooth val="1"/>
          <c:extLst xmlns:c16r2="http://schemas.microsoft.com/office/drawing/2015/06/chart">
            <c:ext xmlns:c16="http://schemas.microsoft.com/office/drawing/2014/chart" uri="{C3380CC4-5D6E-409C-BE32-E72D297353CC}">
              <c16:uniqueId val="{00000000-A2EC-49A3-B720-C76DBC2701A7}"/>
            </c:ext>
          </c:extLst>
        </c:ser>
        <c:ser>
          <c:idx val="1"/>
          <c:order val="1"/>
          <c:tx>
            <c:strRef>
              <c:f>Graphs!graph_c_B_title</c:f>
              <c:strCache>
                <c:ptCount val="1"/>
                <c:pt idx="0">
                  <c:v>0</c:v>
                </c:pt>
              </c:strCache>
            </c:strRef>
          </c:tx>
          <c:spPr>
            <a:ln>
              <a:prstDash val="solid"/>
            </a:ln>
          </c:spPr>
          <c:marker>
            <c:symbol val="none"/>
          </c:marker>
          <c:xVal>
            <c:numRef>
              <c:f>Graphs!graph_c_x_range_B</c:f>
              <c:numCache>
                <c:formatCode>0.00</c:formatCode>
                <c:ptCount val="5"/>
                <c:pt idx="0">
                  <c:v>3.7384736181032448E-3</c:v>
                </c:pt>
                <c:pt idx="1">
                  <c:v>7.9311216603740169E-3</c:v>
                </c:pt>
                <c:pt idx="2">
                  <c:v>1.5904335077662379E-2</c:v>
                </c:pt>
                <c:pt idx="3">
                  <c:v>3.0235721691033311E-2</c:v>
                </c:pt>
                <c:pt idx="4">
                  <c:v>5.5575866358604613E-2</c:v>
                </c:pt>
              </c:numCache>
            </c:numRef>
          </c:xVal>
          <c:yVal>
            <c:numRef>
              <c:f>Graphs!graph_c_y_range_B</c:f>
              <c:numCache>
                <c:formatCode>0.00</c:formatCode>
                <c:ptCount val="5"/>
                <c:pt idx="0">
                  <c:v>32.136937500000002</c:v>
                </c:pt>
                <c:pt idx="1">
                  <c:v>34.395940625000001</c:v>
                </c:pt>
                <c:pt idx="2">
                  <c:v>36.949346875000003</c:v>
                </c:pt>
                <c:pt idx="3">
                  <c:v>39.584206250000001</c:v>
                </c:pt>
                <c:pt idx="4">
                  <c:v>42.183178124999998</c:v>
                </c:pt>
              </c:numCache>
            </c:numRef>
          </c:yVal>
          <c:smooth val="1"/>
          <c:extLst xmlns:c16r2="http://schemas.microsoft.com/office/drawing/2015/06/chart">
            <c:ext xmlns:c16="http://schemas.microsoft.com/office/drawing/2014/chart" uri="{C3380CC4-5D6E-409C-BE32-E72D297353CC}">
              <c16:uniqueId val="{00000001-A2EC-49A3-B720-C76DBC2701A7}"/>
            </c:ext>
          </c:extLst>
        </c:ser>
        <c:dLbls>
          <c:showLegendKey val="0"/>
          <c:showVal val="0"/>
          <c:showCatName val="0"/>
          <c:showSerName val="0"/>
          <c:showPercent val="0"/>
          <c:showBubbleSize val="0"/>
        </c:dLbls>
        <c:axId val="1276080576"/>
        <c:axId val="1276076224"/>
      </c:scatterChart>
      <c:valAx>
        <c:axId val="1276080576"/>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1276076224"/>
        <c:crosses val="autoZero"/>
        <c:crossBetween val="midCat"/>
      </c:valAx>
      <c:valAx>
        <c:axId val="1276076224"/>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127608057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Master+r7.0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44.160262500000002</c:v>
                </c:pt>
                <c:pt idx="1">
                  <c:v>45.457171875</c:v>
                </c:pt>
                <c:pt idx="2">
                  <c:v>46.589962499999999</c:v>
                </c:pt>
                <c:pt idx="3">
                  <c:v>47.905425000000001</c:v>
                </c:pt>
                <c:pt idx="4">
                  <c:v>49.411659374999999</c:v>
                </c:pt>
              </c:numCache>
            </c:numRef>
          </c:yVal>
          <c:smooth val="1"/>
          <c:extLst xmlns:c16r2="http://schemas.microsoft.com/office/drawing/2015/06/chart">
            <c:ext xmlns:c16="http://schemas.microsoft.com/office/drawing/2014/chart" uri="{C3380CC4-5D6E-409C-BE32-E72D297353CC}">
              <c16:uniqueId val="{00000000-BBA5-42C3-A6A3-4FD72939431B}"/>
            </c:ext>
          </c:extLst>
        </c:ser>
        <c:ser>
          <c:idx val="1"/>
          <c:order val="1"/>
          <c:tx>
            <c:strRef>
              <c:f>Graphs!graph_d_B_title</c:f>
              <c:strCache>
                <c:ptCount val="1"/>
                <c:pt idx="0">
                  <c:v>0</c:v>
                </c:pt>
              </c:strCache>
            </c:strRef>
          </c:tx>
          <c:spPr>
            <a:ln>
              <a:prstDash val="solid"/>
            </a:ln>
          </c:spPr>
          <c:marker>
            <c:symbol val="none"/>
          </c:marker>
          <c:xVal>
            <c:numRef>
              <c:f>Graphs!graph_d_x_range_B</c:f>
              <c:numCache>
                <c:formatCode>0.00</c:formatCode>
                <c:ptCount val="5"/>
                <c:pt idx="0">
                  <c:v>3.7384736181032448E-3</c:v>
                </c:pt>
                <c:pt idx="1">
                  <c:v>7.9311216603740169E-3</c:v>
                </c:pt>
                <c:pt idx="2">
                  <c:v>1.5904335077662379E-2</c:v>
                </c:pt>
                <c:pt idx="3">
                  <c:v>3.0235721691033311E-2</c:v>
                </c:pt>
                <c:pt idx="4">
                  <c:v>5.5575866358604613E-2</c:v>
                </c:pt>
              </c:numCache>
            </c:numRef>
          </c:xVal>
          <c:yVal>
            <c:numRef>
              <c:f>Graphs!graph_d_y_range_B</c:f>
              <c:numCache>
                <c:formatCode>0.00</c:formatCode>
                <c:ptCount val="5"/>
                <c:pt idx="0">
                  <c:v>44.103246875000004</c:v>
                </c:pt>
                <c:pt idx="1">
                  <c:v>45.439875000000001</c:v>
                </c:pt>
                <c:pt idx="2">
                  <c:v>46.543159375000002</c:v>
                </c:pt>
                <c:pt idx="3">
                  <c:v>47.912149999999997</c:v>
                </c:pt>
                <c:pt idx="4">
                  <c:v>49.463665624999997</c:v>
                </c:pt>
              </c:numCache>
            </c:numRef>
          </c:yVal>
          <c:smooth val="1"/>
          <c:extLst xmlns:c16r2="http://schemas.microsoft.com/office/drawing/2015/06/chart">
            <c:ext xmlns:c16="http://schemas.microsoft.com/office/drawing/2014/chart" uri="{C3380CC4-5D6E-409C-BE32-E72D297353CC}">
              <c16:uniqueId val="{00000001-BBA5-42C3-A6A3-4FD72939431B}"/>
            </c:ext>
          </c:extLst>
        </c:ser>
        <c:dLbls>
          <c:showLegendKey val="0"/>
          <c:showVal val="0"/>
          <c:showCatName val="0"/>
          <c:showSerName val="0"/>
          <c:showPercent val="0"/>
          <c:showBubbleSize val="0"/>
        </c:dLbls>
        <c:axId val="1276084928"/>
        <c:axId val="1276082752"/>
      </c:scatterChart>
      <c:valAx>
        <c:axId val="1276084928"/>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1276082752"/>
        <c:crosses val="autoZero"/>
        <c:crossBetween val="midCat"/>
      </c:valAx>
      <c:valAx>
        <c:axId val="127608275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127608492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Master+r7.0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43.841843750000002</c:v>
                </c:pt>
                <c:pt idx="1">
                  <c:v>45.25540625</c:v>
                </c:pt>
                <c:pt idx="2">
                  <c:v>46.485678125</c:v>
                </c:pt>
                <c:pt idx="3">
                  <c:v>47.942124999999997</c:v>
                </c:pt>
                <c:pt idx="4">
                  <c:v>49.554578124999999</c:v>
                </c:pt>
              </c:numCache>
            </c:numRef>
          </c:yVal>
          <c:smooth val="1"/>
          <c:extLst xmlns:c16r2="http://schemas.microsoft.com/office/drawing/2015/06/chart">
            <c:ext xmlns:c16="http://schemas.microsoft.com/office/drawing/2014/chart" uri="{C3380CC4-5D6E-409C-BE32-E72D297353CC}">
              <c16:uniqueId val="{00000000-FBC7-4696-AE9E-DB913B04CA35}"/>
            </c:ext>
          </c:extLst>
        </c:ser>
        <c:ser>
          <c:idx val="1"/>
          <c:order val="1"/>
          <c:tx>
            <c:strRef>
              <c:f>Graphs!graph_e_B_title</c:f>
              <c:strCache>
                <c:ptCount val="1"/>
                <c:pt idx="0">
                  <c:v>0</c:v>
                </c:pt>
              </c:strCache>
            </c:strRef>
          </c:tx>
          <c:spPr>
            <a:ln>
              <a:prstDash val="solid"/>
            </a:ln>
          </c:spPr>
          <c:marker>
            <c:symbol val="none"/>
          </c:marker>
          <c:xVal>
            <c:numRef>
              <c:f>Graphs!graph_e_x_range_B</c:f>
              <c:numCache>
                <c:formatCode>0.00</c:formatCode>
                <c:ptCount val="5"/>
                <c:pt idx="0">
                  <c:v>3.7384736181032448E-3</c:v>
                </c:pt>
                <c:pt idx="1">
                  <c:v>7.9311216603740169E-3</c:v>
                </c:pt>
                <c:pt idx="2">
                  <c:v>1.5904335077662379E-2</c:v>
                </c:pt>
                <c:pt idx="3">
                  <c:v>3.0235721691033311E-2</c:v>
                </c:pt>
                <c:pt idx="4">
                  <c:v>5.5575866358604613E-2</c:v>
                </c:pt>
              </c:numCache>
            </c:numRef>
          </c:xVal>
          <c:yVal>
            <c:numRef>
              <c:f>Graphs!graph_e_y_range_B</c:f>
              <c:numCache>
                <c:formatCode>0.00</c:formatCode>
                <c:ptCount val="5"/>
                <c:pt idx="0">
                  <c:v>43.708815625</c:v>
                </c:pt>
                <c:pt idx="1">
                  <c:v>45.177909374999999</c:v>
                </c:pt>
                <c:pt idx="2">
                  <c:v>46.438331249999997</c:v>
                </c:pt>
                <c:pt idx="3">
                  <c:v>47.945168750000001</c:v>
                </c:pt>
                <c:pt idx="4">
                  <c:v>49.596834375</c:v>
                </c:pt>
              </c:numCache>
            </c:numRef>
          </c:yVal>
          <c:smooth val="1"/>
          <c:extLst xmlns:c16r2="http://schemas.microsoft.com/office/drawing/2015/06/chart">
            <c:ext xmlns:c16="http://schemas.microsoft.com/office/drawing/2014/chart" uri="{C3380CC4-5D6E-409C-BE32-E72D297353CC}">
              <c16:uniqueId val="{00000001-FBC7-4696-AE9E-DB913B04CA35}"/>
            </c:ext>
          </c:extLst>
        </c:ser>
        <c:dLbls>
          <c:showLegendKey val="0"/>
          <c:showVal val="0"/>
          <c:showCatName val="0"/>
          <c:showSerName val="0"/>
          <c:showPercent val="0"/>
          <c:showBubbleSize val="0"/>
        </c:dLbls>
        <c:axId val="1276087648"/>
        <c:axId val="1276074592"/>
      </c:scatterChart>
      <c:valAx>
        <c:axId val="1276087648"/>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1276074592"/>
        <c:crosses val="autoZero"/>
        <c:crossBetween val="midCat"/>
      </c:valAx>
      <c:valAx>
        <c:axId val="127607459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127608764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Master+r7.0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E87C-495C-AA44-CEF4E97A4330}"/>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E87C-495C-AA44-CEF4E97A4330}"/>
            </c:ext>
          </c:extLst>
        </c:ser>
        <c:dLbls>
          <c:showLegendKey val="0"/>
          <c:showVal val="0"/>
          <c:showCatName val="0"/>
          <c:showSerName val="0"/>
          <c:showPercent val="0"/>
          <c:showBubbleSize val="0"/>
        </c:dLbls>
        <c:axId val="1276080032"/>
        <c:axId val="1276078944"/>
      </c:scatterChart>
      <c:valAx>
        <c:axId val="1276080032"/>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1276078944"/>
        <c:crosses val="autoZero"/>
        <c:crossBetween val="midCat"/>
      </c:valAx>
      <c:valAx>
        <c:axId val="1276078944"/>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127608003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workbookViewId="0">
      <selection activeCell="C1" sqref="C1:E1"/>
    </sheetView>
  </sheetViews>
  <sheetFormatPr defaultRowHeight="14.25" x14ac:dyDescent="0.45"/>
  <cols>
    <col min="2" max="2" width="16.6640625" style="53" customWidth="1"/>
    <col min="3" max="12" width="24.6640625" style="53" customWidth="1"/>
  </cols>
  <sheetData>
    <row r="1" spans="2:12" x14ac:dyDescent="0.45">
      <c r="B1" t="s">
        <v>0</v>
      </c>
      <c r="C1" s="58" t="s">
        <v>574</v>
      </c>
      <c r="D1" s="59"/>
      <c r="E1" s="59"/>
    </row>
    <row r="2" spans="2:12" x14ac:dyDescent="0.45">
      <c r="B2" t="s">
        <v>1</v>
      </c>
      <c r="C2" s="60"/>
      <c r="D2" s="59"/>
      <c r="E2" s="59"/>
    </row>
    <row r="4" spans="2:12" s="1" customFormat="1" x14ac:dyDescent="0.45">
      <c r="B4" s="1" t="s">
        <v>2</v>
      </c>
    </row>
    <row r="6" spans="2:12" x14ac:dyDescent="0.45">
      <c r="B6" s="61" t="s">
        <v>3</v>
      </c>
      <c r="C6" s="63" t="s">
        <v>4</v>
      </c>
      <c r="D6" s="64"/>
      <c r="E6" s="64"/>
      <c r="F6" s="64"/>
      <c r="G6" s="64"/>
      <c r="H6" s="64"/>
      <c r="I6" s="64"/>
      <c r="J6" s="64"/>
      <c r="K6" s="64"/>
      <c r="L6" s="64"/>
    </row>
    <row r="7" spans="2:12" x14ac:dyDescent="0.45">
      <c r="B7" s="59"/>
      <c r="C7" s="65" t="s">
        <v>5</v>
      </c>
      <c r="D7" s="59"/>
      <c r="E7" s="66" t="s">
        <v>6</v>
      </c>
      <c r="F7" s="59"/>
      <c r="G7" s="59"/>
      <c r="H7" s="65" t="s">
        <v>7</v>
      </c>
      <c r="I7" s="59"/>
      <c r="J7" s="66" t="s">
        <v>8</v>
      </c>
      <c r="K7" s="59"/>
      <c r="L7" s="59"/>
    </row>
    <row r="8" spans="2:12" x14ac:dyDescent="0.45">
      <c r="B8" s="62"/>
      <c r="C8" s="2" t="s">
        <v>9</v>
      </c>
      <c r="D8" s="2" t="s">
        <v>10</v>
      </c>
      <c r="E8" s="3" t="s">
        <v>11</v>
      </c>
      <c r="F8" s="3" t="s">
        <v>12</v>
      </c>
      <c r="G8" s="3" t="s">
        <v>13</v>
      </c>
      <c r="H8" s="2" t="s">
        <v>9</v>
      </c>
      <c r="I8" s="2" t="s">
        <v>10</v>
      </c>
      <c r="J8" s="3" t="s">
        <v>11</v>
      </c>
      <c r="K8" s="3" t="s">
        <v>12</v>
      </c>
      <c r="L8" s="3" t="s">
        <v>13</v>
      </c>
    </row>
    <row r="9" spans="2:12" x14ac:dyDescent="0.45">
      <c r="B9" t="s">
        <v>14</v>
      </c>
      <c r="C9" s="52">
        <f>'C2 lossyG,lossyA,intra'!$BJ$40:$BJ$40</f>
        <v>7.1882761748810142E-2</v>
      </c>
      <c r="D9" s="52">
        <f>'C2 lossyG,lossyA,intra'!$BK$40:$BK$40</f>
        <v>8.6131704937243536E-2</v>
      </c>
      <c r="E9" s="52">
        <f>'C2 lossyG,lossyA,intra'!$BL$40:$BL$40</f>
        <v>1.4157230048851221E-2</v>
      </c>
      <c r="F9" s="52">
        <f>'C2 lossyG,lossyA,intra'!$BM$40:$BM$40</f>
        <v>2.3729088561241951E-2</v>
      </c>
      <c r="G9" s="52">
        <f>'C2 lossyG,lossyA,intra'!$BN$40:$BN$40</f>
        <v>1.6088195793668492E-2</v>
      </c>
      <c r="H9" s="52">
        <f>'C2 lossyG,lossyA,intra'!$BP$40:$BP$40</f>
        <v>4.2063069546144916E-2</v>
      </c>
      <c r="I9" s="52">
        <f>'C2 lossyG,lossyA,intra'!$BQ$40:$BQ$40</f>
        <v>6.2431699716493316E-2</v>
      </c>
      <c r="J9" s="52">
        <f>'C2 lossyG,lossyA,intra'!$BR$40:$BR$40</f>
        <v>3.3119390366951107E-2</v>
      </c>
      <c r="K9" s="52">
        <f>'C2 lossyG,lossyA,intra'!$BS$40:$BS$40</f>
        <v>3.946561938581844E-2</v>
      </c>
      <c r="L9" s="52">
        <f>'C2 lossyG,lossyA,intra'!$BT$40:$BT$40</f>
        <v>3.2568118999390161E-2</v>
      </c>
    </row>
    <row r="10" spans="2:12" x14ac:dyDescent="0.45">
      <c r="B10" t="s">
        <v>15</v>
      </c>
      <c r="C10" s="52">
        <f>'C2 lossyG,lossyA,intra'!$BJ$41:$BJ$41</f>
        <v>0.18565496504628487</v>
      </c>
      <c r="D10" s="52">
        <f>'C2 lossyG,lossyA,intra'!$BK$41:$BK$41</f>
        <v>0.21741808805889806</v>
      </c>
      <c r="E10" s="52">
        <f>'C2 lossyG,lossyA,intra'!$BL$41:$BL$41</f>
        <v>2.4555792961530765E-2</v>
      </c>
      <c r="F10" s="52">
        <f>'C2 lossyG,lossyA,intra'!$BM$41:$BM$41</f>
        <v>2.7205512945529531E-3</v>
      </c>
      <c r="G10" s="52">
        <f>'C2 lossyG,lossyA,intra'!$BN$41:$BN$41</f>
        <v>-7.5438778858034627E-3</v>
      </c>
      <c r="H10" s="52">
        <f>'C2 lossyG,lossyA,intra'!$BP$41:$BP$41</f>
        <v>9.4263752275978385E-2</v>
      </c>
      <c r="I10" s="52">
        <f>'C2 lossyG,lossyA,intra'!$BQ$41:$BQ$41</f>
        <v>0.13689998341576892</v>
      </c>
      <c r="J10" s="52">
        <f>'C2 lossyG,lossyA,intra'!$BR$41:$BR$41</f>
        <v>5.1456626795534977E-2</v>
      </c>
      <c r="K10" s="52">
        <f>'C2 lossyG,lossyA,intra'!$BS$41:$BS$41</f>
        <v>2.9547060810648063E-2</v>
      </c>
      <c r="L10" s="52">
        <f>'C2 lossyG,lossyA,intra'!$BT$41:$BT$41</f>
        <v>2.0500044062699896E-2</v>
      </c>
    </row>
    <row r="11" spans="2:12" x14ac:dyDescent="0.45">
      <c r="B11" t="s">
        <v>16</v>
      </c>
      <c r="C11" s="52">
        <f>'C2 lossyG,lossyA,intra'!$BJ$42:$BJ$42</f>
        <v>7.8659447916200498E-2</v>
      </c>
      <c r="D11" s="52">
        <f>'C2 lossyG,lossyA,intra'!$BK$42:$BK$42</f>
        <v>9.5098881747622821E-2</v>
      </c>
      <c r="E11" s="52">
        <f>'C2 lossyG,lossyA,intra'!$BL$42:$BL$42</f>
        <v>2.431275766501706E-2</v>
      </c>
      <c r="F11" s="52">
        <f>'C2 lossyG,lossyA,intra'!$BM$42:$BM$42</f>
        <v>3.6011935463458489E-2</v>
      </c>
      <c r="G11" s="52">
        <f>'C2 lossyG,lossyA,intra'!$BN$42:$BN$42</f>
        <v>3.217272537724114E-2</v>
      </c>
      <c r="H11" s="52">
        <f>'C2 lossyG,lossyA,intra'!$BP$42:$BP$42</f>
        <v>5.4550953800172164E-2</v>
      </c>
      <c r="I11" s="52">
        <f>'C2 lossyG,lossyA,intra'!$BQ$42:$BQ$42</f>
        <v>7.7411115225097027E-2</v>
      </c>
      <c r="J11" s="52">
        <f>'C2 lossyG,lossyA,intra'!$BR$42:$BR$42</f>
        <v>4.5307978393064441E-2</v>
      </c>
      <c r="K11" s="52">
        <f>'C2 lossyG,lossyA,intra'!$BS$42:$BS$42</f>
        <v>5.2924965065435536E-2</v>
      </c>
      <c r="L11" s="52">
        <f>'C2 lossyG,lossyA,intra'!$BT$42:$BT$42</f>
        <v>5.0816582771830987E-2</v>
      </c>
    </row>
    <row r="12" spans="2:12" x14ac:dyDescent="0.45">
      <c r="B12" s="4" t="s">
        <v>17</v>
      </c>
      <c r="C12" s="5">
        <f>'C2 lossyG,lossyA,intra'!$BJ$43:$BJ$43</f>
        <v>9.0072129696275205E-2</v>
      </c>
      <c r="D12" s="5">
        <f>'C2 lossyG,lossyA,intra'!$BK$43:$BK$43</f>
        <v>0.10744895304330256</v>
      </c>
      <c r="E12" s="5">
        <f>'C2 lossyG,lossyA,intra'!$BL$43:$BL$43</f>
        <v>1.8544318355281395E-2</v>
      </c>
      <c r="F12" s="5">
        <f>'C2 lossyG,lossyA,intra'!$BM$43:$BM$43</f>
        <v>2.4237253780919676E-2</v>
      </c>
      <c r="G12" s="5">
        <f>'C2 lossyG,lossyA,intra'!$BN$43:$BN$43</f>
        <v>1.7307765149050396E-2</v>
      </c>
      <c r="H12" s="5">
        <f>'C2 lossyG,lossyA,intra'!$BP$43:$BP$43</f>
        <v>5.3088276865843199E-2</v>
      </c>
      <c r="I12" s="5">
        <f>'C2 lossyG,lossyA,intra'!$BQ$43:$BQ$43</f>
        <v>7.7349858961705181E-2</v>
      </c>
      <c r="J12" s="5">
        <f>'C2 lossyG,lossyA,intra'!$BR$43:$BR$43</f>
        <v>3.9221449292781187E-2</v>
      </c>
      <c r="K12" s="5">
        <f>'C2 lossyG,lossyA,intra'!$BS$43:$BS$43</f>
        <v>4.1894209783541844E-2</v>
      </c>
      <c r="L12" s="5">
        <f>'C2 lossyG,lossyA,intra'!$BT$43:$BT$43</f>
        <v>3.6057955086274643E-2</v>
      </c>
    </row>
    <row r="13" spans="2:12" x14ac:dyDescent="0.45">
      <c r="B13" t="s">
        <v>18</v>
      </c>
      <c r="C13" s="67">
        <f>'C2 lossyG,lossyA,intra'!AZ47</f>
        <v>0.97542763710240143</v>
      </c>
      <c r="D13" s="59"/>
      <c r="E13" s="59"/>
      <c r="F13" s="59"/>
      <c r="G13" s="59"/>
      <c r="H13" s="59"/>
      <c r="I13" s="59"/>
      <c r="J13" s="59"/>
      <c r="K13" s="59"/>
      <c r="L13" s="59"/>
    </row>
    <row r="14" spans="2:12" x14ac:dyDescent="0.45">
      <c r="B14" s="6" t="s">
        <v>19</v>
      </c>
      <c r="C14" s="68">
        <f>'C2 lossyG,lossyA,intra'!BB47</f>
        <v>1.1244666511238848</v>
      </c>
      <c r="D14" s="62"/>
      <c r="E14" s="62"/>
      <c r="F14" s="62"/>
      <c r="G14" s="62"/>
      <c r="H14" s="62"/>
      <c r="I14" s="62"/>
      <c r="J14" s="62"/>
      <c r="K14" s="62"/>
      <c r="L14" s="62"/>
    </row>
    <row r="16" spans="2:12" x14ac:dyDescent="0.45">
      <c r="B16" s="61" t="s">
        <v>20</v>
      </c>
      <c r="C16" s="63" t="s">
        <v>21</v>
      </c>
      <c r="D16" s="64"/>
      <c r="E16" s="64"/>
    </row>
    <row r="17" spans="2:5" x14ac:dyDescent="0.45">
      <c r="B17" s="59"/>
      <c r="C17" s="65" t="s">
        <v>22</v>
      </c>
      <c r="D17" s="59"/>
      <c r="E17" s="59"/>
    </row>
    <row r="18" spans="2:5" x14ac:dyDescent="0.45">
      <c r="B18" s="62"/>
      <c r="C18" s="2" t="s">
        <v>23</v>
      </c>
      <c r="D18" s="2" t="s">
        <v>24</v>
      </c>
      <c r="E18" s="2" t="s">
        <v>25</v>
      </c>
    </row>
    <row r="19" spans="2:5" x14ac:dyDescent="0.45">
      <c r="B19" t="s">
        <v>14</v>
      </c>
      <c r="C19" s="52" t="e">
        <f>'CW losslG,losslA,intra'!BC12</f>
        <v>#DIV/0!</v>
      </c>
      <c r="D19" s="52" t="e">
        <f>'CW losslG,losslA,intra'!BE12</f>
        <v>#DIV/0!</v>
      </c>
      <c r="E19" s="52" t="e">
        <f>'CW losslG,losslA,intra'!BB12</f>
        <v>#DIV/0!</v>
      </c>
    </row>
    <row r="20" spans="2:5" x14ac:dyDescent="0.45">
      <c r="B20" t="s">
        <v>15</v>
      </c>
      <c r="C20" s="52" t="e">
        <f>'CW losslG,losslA,intra'!BC13</f>
        <v>#DIV/0!</v>
      </c>
      <c r="D20" s="52" t="e">
        <f>'CW losslG,losslA,intra'!BE13</f>
        <v>#DIV/0!</v>
      </c>
      <c r="E20" s="52" t="e">
        <f>'CW losslG,losslA,intra'!BB13</f>
        <v>#DIV/0!</v>
      </c>
    </row>
    <row r="21" spans="2:5" x14ac:dyDescent="0.45">
      <c r="B21" t="s">
        <v>16</v>
      </c>
      <c r="C21" s="52" t="e">
        <f>'CW losslG,losslA,intra'!BC14</f>
        <v>#DIV/0!</v>
      </c>
      <c r="D21" s="52" t="e">
        <f>'CW losslG,losslA,intra'!BE14</f>
        <v>#DIV/0!</v>
      </c>
      <c r="E21" s="52" t="e">
        <f>'CW losslG,losslA,intra'!BB14</f>
        <v>#DIV/0!</v>
      </c>
    </row>
    <row r="22" spans="2:5" x14ac:dyDescent="0.45">
      <c r="B22" s="4" t="s">
        <v>17</v>
      </c>
      <c r="C22" s="5" t="e">
        <f>'CW losslG,losslA,intra'!BC15</f>
        <v>#DIV/0!</v>
      </c>
      <c r="D22" s="5" t="e">
        <f>'CW losslG,losslA,intra'!BE15</f>
        <v>#DIV/0!</v>
      </c>
      <c r="E22" s="5" t="e">
        <f>'CW losslG,losslA,intra'!BB15</f>
        <v>#DIV/0!</v>
      </c>
    </row>
    <row r="23" spans="2:5" x14ac:dyDescent="0.45">
      <c r="B23" t="s">
        <v>18</v>
      </c>
      <c r="C23" s="67" t="e">
        <f>'CW losslG,losslA,intra'!AW19</f>
        <v>#NUM!</v>
      </c>
      <c r="D23" s="59"/>
      <c r="E23" s="59"/>
    </row>
    <row r="24" spans="2:5" x14ac:dyDescent="0.45">
      <c r="B24" s="6" t="s">
        <v>19</v>
      </c>
      <c r="C24" s="68" t="e">
        <f>'CW losslG,losslA,intra'!AY19</f>
        <v>#NUM!</v>
      </c>
      <c r="D24" s="62"/>
      <c r="E24" s="62"/>
    </row>
    <row r="26" spans="2:5" s="1" customFormat="1" x14ac:dyDescent="0.45">
      <c r="B26" s="1" t="s">
        <v>26</v>
      </c>
    </row>
    <row r="28" spans="2:5" x14ac:dyDescent="0.45">
      <c r="B28" s="61" t="s">
        <v>27</v>
      </c>
      <c r="C28" s="63" t="s">
        <v>28</v>
      </c>
      <c r="D28" s="64"/>
      <c r="E28" s="64"/>
    </row>
    <row r="29" spans="2:5" x14ac:dyDescent="0.45">
      <c r="B29" s="59"/>
      <c r="C29" s="65" t="s">
        <v>22</v>
      </c>
      <c r="D29" s="59"/>
      <c r="E29" s="59"/>
    </row>
    <row r="30" spans="2:5" x14ac:dyDescent="0.45">
      <c r="B30" s="62"/>
      <c r="C30" s="2" t="s">
        <v>23</v>
      </c>
      <c r="D30" s="2" t="s">
        <v>24</v>
      </c>
      <c r="E30" s="2" t="s">
        <v>25</v>
      </c>
    </row>
    <row r="31" spans="2:5" x14ac:dyDescent="0.45">
      <c r="B31" t="s">
        <v>14</v>
      </c>
      <c r="C31" s="52" t="e">
        <f>'CW losslG,losslA,interLD'!BC12</f>
        <v>#DIV/0!</v>
      </c>
      <c r="D31" s="52" t="e">
        <f>'CW losslG,losslA,interLD'!BE12</f>
        <v>#DIV/0!</v>
      </c>
      <c r="E31" s="52" t="e">
        <f>'CW losslG,losslA,interLD'!BB12</f>
        <v>#DIV/0!</v>
      </c>
    </row>
    <row r="32" spans="2:5" x14ac:dyDescent="0.45">
      <c r="B32" t="s">
        <v>15</v>
      </c>
      <c r="C32" s="52" t="e">
        <f>'CW losslG,losslA,interLD'!BC13</f>
        <v>#DIV/0!</v>
      </c>
      <c r="D32" s="52" t="e">
        <f>'CW losslG,losslA,interLD'!BE13</f>
        <v>#DIV/0!</v>
      </c>
      <c r="E32" s="52" t="e">
        <f>'CW losslG,losslA,interLD'!BB13</f>
        <v>#DIV/0!</v>
      </c>
    </row>
    <row r="33" spans="2:12" x14ac:dyDescent="0.45">
      <c r="B33" t="s">
        <v>16</v>
      </c>
      <c r="C33" s="52" t="e">
        <f>'CW losslG,losslA,interLD'!BC14</f>
        <v>#DIV/0!</v>
      </c>
      <c r="D33" s="52" t="e">
        <f>'CW losslG,losslA,interLD'!BE14</f>
        <v>#DIV/0!</v>
      </c>
      <c r="E33" s="52" t="e">
        <f>'CW losslG,losslA,interLD'!BB14</f>
        <v>#DIV/0!</v>
      </c>
    </row>
    <row r="34" spans="2:12" x14ac:dyDescent="0.45">
      <c r="B34" s="4" t="s">
        <v>17</v>
      </c>
      <c r="C34" s="5" t="e">
        <f>'CW losslG,losslA,interLD'!BC15</f>
        <v>#DIV/0!</v>
      </c>
      <c r="D34" s="5" t="e">
        <f>'CW losslG,losslA,interLD'!BE15</f>
        <v>#DIV/0!</v>
      </c>
      <c r="E34" s="5" t="e">
        <f>'CW losslG,losslA,interLD'!BB15</f>
        <v>#DIV/0!</v>
      </c>
    </row>
    <row r="35" spans="2:12" x14ac:dyDescent="0.45">
      <c r="B35" t="s">
        <v>18</v>
      </c>
      <c r="C35" s="67" t="e">
        <f>'CW losslG,losslA,interLD'!AW19</f>
        <v>#NUM!</v>
      </c>
      <c r="D35" s="59"/>
      <c r="E35" s="59"/>
    </row>
    <row r="36" spans="2:12" x14ac:dyDescent="0.45">
      <c r="B36" s="6" t="s">
        <v>19</v>
      </c>
      <c r="C36" s="68" t="e">
        <f>'CW losslG,losslA,interLD'!AY19</f>
        <v>#NUM!</v>
      </c>
      <c r="D36" s="62"/>
      <c r="E36" s="62"/>
    </row>
    <row r="38" spans="2:12" s="1" customFormat="1" x14ac:dyDescent="0.45">
      <c r="B38" s="1" t="s">
        <v>29</v>
      </c>
    </row>
    <row r="40" spans="2:12" x14ac:dyDescent="0.45">
      <c r="B40" s="61" t="s">
        <v>30</v>
      </c>
      <c r="C40" s="63" t="s">
        <v>31</v>
      </c>
      <c r="D40" s="64"/>
      <c r="E40" s="64"/>
      <c r="F40" s="64"/>
      <c r="G40" s="64"/>
      <c r="H40" s="64"/>
      <c r="I40" s="64"/>
      <c r="J40" s="64"/>
      <c r="K40" s="64"/>
      <c r="L40" s="64"/>
    </row>
    <row r="41" spans="2:12" x14ac:dyDescent="0.45">
      <c r="B41" s="59"/>
      <c r="C41" s="65" t="s">
        <v>5</v>
      </c>
      <c r="D41" s="59"/>
      <c r="E41" s="66" t="s">
        <v>6</v>
      </c>
      <c r="F41" s="59"/>
      <c r="G41" s="59"/>
      <c r="H41" s="65" t="s">
        <v>7</v>
      </c>
      <c r="I41" s="59"/>
      <c r="J41" s="66" t="s">
        <v>8</v>
      </c>
      <c r="K41" s="59"/>
      <c r="L41" s="59"/>
    </row>
    <row r="42" spans="2:12" x14ac:dyDescent="0.45">
      <c r="B42" s="62"/>
      <c r="C42" s="2" t="s">
        <v>9</v>
      </c>
      <c r="D42" s="2" t="s">
        <v>10</v>
      </c>
      <c r="E42" s="3" t="s">
        <v>11</v>
      </c>
      <c r="F42" s="3" t="s">
        <v>12</v>
      </c>
      <c r="G42" s="3" t="s">
        <v>13</v>
      </c>
      <c r="H42" s="2" t="s">
        <v>9</v>
      </c>
      <c r="I42" s="2" t="s">
        <v>10</v>
      </c>
      <c r="J42" s="3" t="s">
        <v>11</v>
      </c>
      <c r="K42" s="3" t="s">
        <v>12</v>
      </c>
      <c r="L42" s="3" t="s">
        <v>13</v>
      </c>
    </row>
    <row r="43" spans="2:12" x14ac:dyDescent="0.45">
      <c r="B43" t="s">
        <v>14</v>
      </c>
      <c r="C43" s="52">
        <f>'C2 lossyG,lossyA,interRA'!$BJ$40:$BJ$40</f>
        <v>0.12127432327801091</v>
      </c>
      <c r="D43" s="52">
        <f>'C2 lossyG,lossyA,interRA'!$BK$40:$BK$40</f>
        <v>0.13369740289353432</v>
      </c>
      <c r="E43" s="52">
        <f>'C2 lossyG,lossyA,interRA'!$BL$40:$BL$40</f>
        <v>7.0554956212692588E-2</v>
      </c>
      <c r="F43" s="52">
        <f>'C2 lossyG,lossyA,interRA'!$BM$40:$BM$40</f>
        <v>0.10476170898206721</v>
      </c>
      <c r="G43" s="52">
        <f>'C2 lossyG,lossyA,interRA'!$BN$40:$BN$40</f>
        <v>8.5530987234454736E-2</v>
      </c>
      <c r="H43" s="52">
        <f>'C2 lossyG,lossyA,interRA'!$BP$40:$BP$40</f>
        <v>0.11501736179541244</v>
      </c>
      <c r="I43" s="52">
        <f>'C2 lossyG,lossyA,interRA'!$BQ$40:$BQ$40</f>
        <v>0.12992118449449452</v>
      </c>
      <c r="J43" s="52">
        <f>'C2 lossyG,lossyA,interRA'!$BR$40:$BR$40</f>
        <v>9.0544525487319394E-2</v>
      </c>
      <c r="K43" s="52">
        <f>'C2 lossyG,lossyA,interRA'!$BS$40:$BS$40</f>
        <v>0.1080422407997027</v>
      </c>
      <c r="L43" s="52">
        <f>'C2 lossyG,lossyA,interRA'!$BT$40:$BT$40</f>
        <v>9.7729582385524649E-2</v>
      </c>
    </row>
    <row r="44" spans="2:12" x14ac:dyDescent="0.45">
      <c r="B44" t="s">
        <v>15</v>
      </c>
      <c r="C44" s="52">
        <f>'C2 lossyG,lossyA,interRA'!$BJ$41:$BJ$41</f>
        <v>0.21831341381871949</v>
      </c>
      <c r="D44" s="52">
        <f>'C2 lossyG,lossyA,interRA'!$BK$41:$BK$41</f>
        <v>0.2509071566239236</v>
      </c>
      <c r="E44" s="52">
        <f>'C2 lossyG,lossyA,interRA'!$BL$41:$BL$41</f>
        <v>6.3434046278775913E-2</v>
      </c>
      <c r="F44" s="52">
        <f>'C2 lossyG,lossyA,interRA'!$BM$41:$BM$41</f>
        <v>4.7728125824909595E-2</v>
      </c>
      <c r="G44" s="52">
        <f>'C2 lossyG,lossyA,interRA'!$BN$41:$BN$41</f>
        <v>4.0137369693296066E-2</v>
      </c>
      <c r="H44" s="52">
        <f>'C2 lossyG,lossyA,interRA'!$BP$41:$BP$41</f>
        <v>0.17392831556147303</v>
      </c>
      <c r="I44" s="52">
        <f>'C2 lossyG,lossyA,interRA'!$BQ$41:$BQ$41</f>
        <v>0.22122888177735356</v>
      </c>
      <c r="J44" s="52">
        <f>'C2 lossyG,lossyA,interRA'!$BR$41:$BR$41</f>
        <v>0.10886694701273414</v>
      </c>
      <c r="K44" s="52">
        <f>'C2 lossyG,lossyA,interRA'!$BS$41:$BS$41</f>
        <v>9.5018616429985103E-2</v>
      </c>
      <c r="L44" s="52">
        <f>'C2 lossyG,lossyA,interRA'!$BT$41:$BT$41</f>
        <v>8.9043048285748494E-2</v>
      </c>
    </row>
    <row r="45" spans="2:12" x14ac:dyDescent="0.45">
      <c r="B45" t="s">
        <v>16</v>
      </c>
      <c r="C45" s="52">
        <f>'C2 lossyG,lossyA,interRA'!$BJ$42:$BJ$42</f>
        <v>8.7224327864002027E-2</v>
      </c>
      <c r="D45" s="52">
        <f>'C2 lossyG,lossyA,interRA'!$BK$42:$BK$42</f>
        <v>0.10383235221294385</v>
      </c>
      <c r="E45" s="52">
        <f>'C2 lossyG,lossyA,interRA'!$BL$42:$BL$42</f>
        <v>5.2610187570036882E-2</v>
      </c>
      <c r="F45" s="52">
        <f>'C2 lossyG,lossyA,interRA'!$BM$42:$BM$42</f>
        <v>8.9479994900015791E-2</v>
      </c>
      <c r="G45" s="52">
        <f>'C2 lossyG,lossyA,interRA'!$BN$42:$BN$42</f>
        <v>6.3215125478561007E-2</v>
      </c>
      <c r="H45" s="52">
        <f>'C2 lossyG,lossyA,interRA'!$BP$42:$BP$42</f>
        <v>7.7071951619899215E-2</v>
      </c>
      <c r="I45" s="52">
        <f>'C2 lossyG,lossyA,interRA'!$BQ$42:$BQ$42</f>
        <v>9.9039597899063914E-2</v>
      </c>
      <c r="J45" s="52">
        <f>'C2 lossyG,lossyA,interRA'!$BR$42:$BR$42</f>
        <v>6.9873449459181391E-2</v>
      </c>
      <c r="K45" s="52">
        <f>'C2 lossyG,lossyA,interRA'!$BS$42:$BS$42</f>
        <v>9.3283001908474938E-2</v>
      </c>
      <c r="L45" s="52">
        <f>'C2 lossyG,lossyA,interRA'!$BT$42:$BT$42</f>
        <v>7.7024790334269233E-2</v>
      </c>
    </row>
    <row r="46" spans="2:12" x14ac:dyDescent="0.45">
      <c r="B46" s="4" t="s">
        <v>17</v>
      </c>
      <c r="C46" s="5">
        <f>'C2 lossyG,lossyA,interRA'!$BJ$43:$BJ$43</f>
        <v>0.12540848037982388</v>
      </c>
      <c r="D46" s="5">
        <f>'C2 lossyG,lossyA,interRA'!$BK$43:$BK$43</f>
        <v>0.14190878180342123</v>
      </c>
      <c r="E46" s="5">
        <f>'C2 lossyG,lossyA,interRA'!$BL$43:$BL$43</f>
        <v>6.4410606609945714E-2</v>
      </c>
      <c r="F46" s="5">
        <f>'C2 lossyG,lossyA,interRA'!$BM$43:$BM$43</f>
        <v>9.2247850221887154E-2</v>
      </c>
      <c r="G46" s="5">
        <f>'C2 lossyG,lossyA,interRA'!$BN$43:$BN$43</f>
        <v>7.2670224226890998E-2</v>
      </c>
      <c r="H46" s="5">
        <f>'C2 lossyG,lossyA,interRA'!$BP$43:$BP$43</f>
        <v>0.11259166656898875</v>
      </c>
      <c r="I46" s="5">
        <f>'C2 lossyG,lossyA,interRA'!$BQ$43:$BQ$43</f>
        <v>0.13414183079335135</v>
      </c>
      <c r="J46" s="5">
        <f>'C2 lossyG,lossyA,interRA'!$BR$43:$BR$43</f>
        <v>8.7255992554339218E-2</v>
      </c>
      <c r="K46" s="5">
        <f>'C2 lossyG,lossyA,interRA'!$BS$43:$BS$43</f>
        <v>0.10196479763510655</v>
      </c>
      <c r="L46" s="5">
        <f>'C2 lossyG,lossyA,interRA'!$BT$43:$BT$43</f>
        <v>9.0572994070912224E-2</v>
      </c>
    </row>
    <row r="47" spans="2:12" x14ac:dyDescent="0.45">
      <c r="B47" t="s">
        <v>18</v>
      </c>
      <c r="C47" s="67">
        <f>'C2 lossyG,lossyA,interRA'!AZ47</f>
        <v>0.91554011805016433</v>
      </c>
      <c r="D47" s="59"/>
      <c r="E47" s="59"/>
      <c r="F47" s="59"/>
      <c r="G47" s="59"/>
      <c r="H47" s="59"/>
      <c r="I47" s="59"/>
      <c r="J47" s="59"/>
      <c r="K47" s="59"/>
      <c r="L47" s="59"/>
    </row>
    <row r="48" spans="2:12" x14ac:dyDescent="0.45">
      <c r="B48" s="6" t="s">
        <v>19</v>
      </c>
      <c r="C48" s="68">
        <f>'C2 lossyG,lossyA,interRA'!BB47</f>
        <v>1.0368227931615883</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4.25" x14ac:dyDescent="0.45"/>
  <cols>
    <col min="1" max="1" width="12.6640625" style="53" customWidth="1"/>
    <col min="2" max="2" width="24.6640625" style="53" customWidth="1"/>
    <col min="4" max="4" width="24.6640625" style="53" customWidth="1"/>
    <col min="9" max="9" width="16.6640625" style="53" customWidth="1"/>
  </cols>
  <sheetData>
    <row r="1" spans="1:16" x14ac:dyDescent="0.45">
      <c r="A1" t="s">
        <v>32</v>
      </c>
      <c r="B1" s="7" t="str">
        <f>M1</f>
        <v>C2 lossyG,lossyA,intra</v>
      </c>
      <c r="C1" t="s">
        <v>33</v>
      </c>
      <c r="I1" t="s">
        <v>34</v>
      </c>
      <c r="M1" t="s">
        <v>35</v>
      </c>
      <c r="N1" t="s">
        <v>36</v>
      </c>
      <c r="O1" t="s">
        <v>37</v>
      </c>
      <c r="P1" t="s">
        <v>38</v>
      </c>
    </row>
    <row r="2" spans="1:16" x14ac:dyDescent="0.45">
      <c r="A2" t="s">
        <v>39</v>
      </c>
      <c r="B2" s="7" t="str">
        <f>HLOOKUP(B1,M1:ZZ3,3,0)</f>
        <v>8ivfbv2_loot_vox10</v>
      </c>
      <c r="C2" t="s">
        <v>40</v>
      </c>
      <c r="I2" t="s">
        <v>41</v>
      </c>
      <c r="J2" t="s">
        <v>42</v>
      </c>
      <c r="M2" t="s">
        <v>43</v>
      </c>
      <c r="N2" t="s">
        <v>44</v>
      </c>
      <c r="O2" t="s">
        <v>45</v>
      </c>
      <c r="P2" t="s">
        <v>46</v>
      </c>
    </row>
    <row r="3" spans="1:16" x14ac:dyDescent="0.45">
      <c r="I3" t="s">
        <v>47</v>
      </c>
      <c r="J3" t="s">
        <v>48</v>
      </c>
      <c r="M3" t="s">
        <v>49</v>
      </c>
      <c r="N3" t="s">
        <v>49</v>
      </c>
      <c r="O3" t="s">
        <v>49</v>
      </c>
      <c r="P3" t="s">
        <v>49</v>
      </c>
    </row>
    <row r="4" spans="1:16" x14ac:dyDescent="0.45">
      <c r="A4" t="s">
        <v>50</v>
      </c>
      <c r="B4" s="7" t="s">
        <v>51</v>
      </c>
      <c r="C4" t="s">
        <v>52</v>
      </c>
      <c r="D4" s="7" t="s">
        <v>53</v>
      </c>
      <c r="E4" t="s">
        <v>54</v>
      </c>
      <c r="I4" t="s">
        <v>55</v>
      </c>
      <c r="J4" t="s">
        <v>56</v>
      </c>
      <c r="M4" t="s">
        <v>57</v>
      </c>
      <c r="N4" t="s">
        <v>57</v>
      </c>
      <c r="O4" t="s">
        <v>57</v>
      </c>
      <c r="P4" t="s">
        <v>57</v>
      </c>
    </row>
    <row r="5" spans="1:16" x14ac:dyDescent="0.45">
      <c r="A5" t="s">
        <v>50</v>
      </c>
      <c r="B5" s="7" t="s">
        <v>51</v>
      </c>
      <c r="C5" t="s">
        <v>52</v>
      </c>
      <c r="D5" s="7" t="s">
        <v>58</v>
      </c>
      <c r="E5" t="s">
        <v>59</v>
      </c>
      <c r="I5" t="s">
        <v>60</v>
      </c>
      <c r="J5" t="s">
        <v>61</v>
      </c>
      <c r="M5" t="s">
        <v>62</v>
      </c>
      <c r="N5" t="s">
        <v>62</v>
      </c>
      <c r="O5" t="s">
        <v>62</v>
      </c>
      <c r="P5" t="s">
        <v>62</v>
      </c>
    </row>
    <row r="6" spans="1:16" x14ac:dyDescent="0.45">
      <c r="A6" t="s">
        <v>50</v>
      </c>
      <c r="B6" s="7" t="s">
        <v>63</v>
      </c>
      <c r="C6" t="s">
        <v>52</v>
      </c>
      <c r="D6" s="7" t="s">
        <v>64</v>
      </c>
      <c r="E6" t="s">
        <v>65</v>
      </c>
      <c r="I6" t="s">
        <v>66</v>
      </c>
      <c r="J6" t="s">
        <v>67</v>
      </c>
      <c r="M6" t="s">
        <v>68</v>
      </c>
      <c r="N6" t="s">
        <v>68</v>
      </c>
      <c r="O6" t="s">
        <v>68</v>
      </c>
      <c r="P6" t="s">
        <v>68</v>
      </c>
    </row>
    <row r="7" spans="1:16" x14ac:dyDescent="0.45">
      <c r="A7" t="s">
        <v>50</v>
      </c>
      <c r="B7" s="7" t="s">
        <v>63</v>
      </c>
      <c r="C7" t="s">
        <v>52</v>
      </c>
      <c r="D7" s="7" t="s">
        <v>47</v>
      </c>
      <c r="E7" t="s">
        <v>69</v>
      </c>
      <c r="I7" t="s">
        <v>53</v>
      </c>
      <c r="J7" t="s">
        <v>70</v>
      </c>
      <c r="M7" t="s">
        <v>71</v>
      </c>
      <c r="N7" t="s">
        <v>71</v>
      </c>
      <c r="O7" t="s">
        <v>71</v>
      </c>
      <c r="P7" t="s">
        <v>71</v>
      </c>
    </row>
    <row r="8" spans="1:16" x14ac:dyDescent="0.45">
      <c r="A8" t="s">
        <v>50</v>
      </c>
      <c r="B8" s="7" t="s">
        <v>63</v>
      </c>
      <c r="C8" t="s">
        <v>52</v>
      </c>
      <c r="D8" s="7" t="s">
        <v>60</v>
      </c>
      <c r="E8" t="s">
        <v>72</v>
      </c>
      <c r="I8" t="s">
        <v>73</v>
      </c>
      <c r="J8" t="s">
        <v>74</v>
      </c>
      <c r="M8" t="s">
        <v>75</v>
      </c>
      <c r="N8" t="s">
        <v>75</v>
      </c>
      <c r="O8" t="s">
        <v>75</v>
      </c>
      <c r="P8" t="s">
        <v>75</v>
      </c>
    </row>
    <row r="9" spans="1:16" x14ac:dyDescent="0.45">
      <c r="A9" t="s">
        <v>50</v>
      </c>
      <c r="B9" s="7" t="s">
        <v>76</v>
      </c>
      <c r="C9" t="s">
        <v>52</v>
      </c>
      <c r="D9" s="7" t="s">
        <v>77</v>
      </c>
      <c r="E9" t="s">
        <v>78</v>
      </c>
      <c r="I9" t="s">
        <v>58</v>
      </c>
      <c r="J9" t="s">
        <v>79</v>
      </c>
      <c r="M9" t="s">
        <v>80</v>
      </c>
      <c r="N9" t="s">
        <v>80</v>
      </c>
      <c r="O9" t="s">
        <v>80</v>
      </c>
      <c r="P9" t="s">
        <v>80</v>
      </c>
    </row>
    <row r="10" spans="1:16" x14ac:dyDescent="0.45">
      <c r="I10" t="s">
        <v>81</v>
      </c>
      <c r="J10" t="s">
        <v>82</v>
      </c>
    </row>
    <row r="11" spans="1:16" x14ac:dyDescent="0.45">
      <c r="I11" t="s">
        <v>83</v>
      </c>
      <c r="J11" t="s">
        <v>84</v>
      </c>
    </row>
    <row r="12" spans="1:16" x14ac:dyDescent="0.45">
      <c r="I12" t="s">
        <v>85</v>
      </c>
      <c r="J12" t="s">
        <v>86</v>
      </c>
    </row>
    <row r="13" spans="1:16" x14ac:dyDescent="0.45">
      <c r="I13" t="s">
        <v>87</v>
      </c>
      <c r="J13" t="s">
        <v>88</v>
      </c>
    </row>
    <row r="14" spans="1:16" x14ac:dyDescent="0.45">
      <c r="I14" t="s">
        <v>89</v>
      </c>
      <c r="J14" t="s">
        <v>90</v>
      </c>
    </row>
    <row r="15" spans="1:16" x14ac:dyDescent="0.45">
      <c r="I15" t="s">
        <v>91</v>
      </c>
      <c r="J15" t="s">
        <v>92</v>
      </c>
    </row>
    <row r="16" spans="1:16" x14ac:dyDescent="0.45">
      <c r="I16" t="s">
        <v>93</v>
      </c>
      <c r="J16" t="s">
        <v>94</v>
      </c>
    </row>
    <row r="17" spans="9:10" x14ac:dyDescent="0.45">
      <c r="I17" t="s">
        <v>77</v>
      </c>
      <c r="J17" t="s">
        <v>95</v>
      </c>
    </row>
    <row r="18" spans="9:10" x14ac:dyDescent="0.45">
      <c r="I18" t="s">
        <v>96</v>
      </c>
      <c r="J18" t="s">
        <v>97</v>
      </c>
    </row>
    <row r="19" spans="9:10" x14ac:dyDescent="0.45">
      <c r="I19" t="s">
        <v>98</v>
      </c>
      <c r="J19" t="s">
        <v>99</v>
      </c>
    </row>
    <row r="20" spans="9:10" x14ac:dyDescent="0.45">
      <c r="I20" t="s">
        <v>100</v>
      </c>
      <c r="J20" t="s">
        <v>101</v>
      </c>
    </row>
    <row r="21" spans="9:10" x14ac:dyDescent="0.45">
      <c r="I21" t="s">
        <v>102</v>
      </c>
      <c r="J21" t="s">
        <v>103</v>
      </c>
    </row>
    <row r="22" spans="9:10" x14ac:dyDescent="0.45">
      <c r="I22" t="s">
        <v>64</v>
      </c>
      <c r="J22" t="s">
        <v>104</v>
      </c>
    </row>
    <row r="23" spans="9:10" x14ac:dyDescent="0.45">
      <c r="I23" t="s">
        <v>105</v>
      </c>
      <c r="J23" t="s">
        <v>106</v>
      </c>
    </row>
    <row r="24" spans="9:10" x14ac:dyDescent="0.45">
      <c r="I24" t="s">
        <v>107</v>
      </c>
      <c r="J24" t="s">
        <v>108</v>
      </c>
    </row>
    <row r="25" spans="9:10" x14ac:dyDescent="0.45">
      <c r="I25" t="s">
        <v>109</v>
      </c>
      <c r="J25" t="s">
        <v>110</v>
      </c>
    </row>
    <row r="26" spans="9:10" x14ac:dyDescent="0.45">
      <c r="I26" t="s">
        <v>111</v>
      </c>
      <c r="J26" t="s">
        <v>112</v>
      </c>
    </row>
    <row r="27" spans="9:10" x14ac:dyDescent="0.45">
      <c r="I27" t="s">
        <v>113</v>
      </c>
      <c r="J27" t="s">
        <v>114</v>
      </c>
    </row>
    <row r="28" spans="9:10" x14ac:dyDescent="0.45">
      <c r="I28" t="s">
        <v>115</v>
      </c>
      <c r="J28" t="s">
        <v>116</v>
      </c>
    </row>
    <row r="29" spans="9:10" x14ac:dyDescent="0.45">
      <c r="I29" t="s">
        <v>117</v>
      </c>
      <c r="J29" t="s">
        <v>118</v>
      </c>
    </row>
    <row r="30" spans="9:10" x14ac:dyDescent="0.45">
      <c r="I30" t="s">
        <v>119</v>
      </c>
      <c r="J30" t="s">
        <v>120</v>
      </c>
    </row>
    <row r="31" spans="9:10" x14ac:dyDescent="0.45">
      <c r="I31" t="s">
        <v>121</v>
      </c>
      <c r="J31" t="s">
        <v>122</v>
      </c>
    </row>
    <row r="32" spans="9:10" x14ac:dyDescent="0.45">
      <c r="I32" t="s">
        <v>123</v>
      </c>
      <c r="J32" t="s">
        <v>124</v>
      </c>
    </row>
    <row r="33" spans="9:10" x14ac:dyDescent="0.45">
      <c r="I33" t="s">
        <v>125</v>
      </c>
      <c r="J33" t="s">
        <v>126</v>
      </c>
    </row>
    <row r="34" spans="9:10" x14ac:dyDescent="0.45">
      <c r="I34" t="s">
        <v>127</v>
      </c>
      <c r="J34" t="s">
        <v>128</v>
      </c>
    </row>
    <row r="35" spans="9:10" x14ac:dyDescent="0.45">
      <c r="I35" t="s">
        <v>63</v>
      </c>
      <c r="J35" t="s">
        <v>129</v>
      </c>
    </row>
    <row r="36" spans="9:10" x14ac:dyDescent="0.45">
      <c r="I36" t="s">
        <v>51</v>
      </c>
      <c r="J36" t="s">
        <v>130</v>
      </c>
    </row>
    <row r="37" spans="9:10" x14ac:dyDescent="0.45">
      <c r="I37" t="s">
        <v>131</v>
      </c>
      <c r="J37" t="s">
        <v>132</v>
      </c>
    </row>
    <row r="38" spans="9:10" x14ac:dyDescent="0.45">
      <c r="I38" t="s">
        <v>76</v>
      </c>
      <c r="J38" t="s">
        <v>133</v>
      </c>
    </row>
    <row r="39" spans="9:10" x14ac:dyDescent="0.4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formula1>OFFSET(1:1,0,COLUMN(M1)-1,1,COUNTA(M1:ZZ1))</formula1>
    </dataValidation>
    <dataValidation type="list" showInputMessage="1" showErrorMessage="1" sqref="B2">
      <formula1>OFFSET(M:M,2,MATCH(B1,M1:ZZ1,0)-1,COUNTA(INDEX(M:ZZ,,MATCH(B1,M1:ZZ1,0)))-2)</formula1>
    </dataValidation>
    <dataValidation type="list"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U47"/>
  <sheetViews>
    <sheetView zoomScale="55" zoomScaleNormal="55" workbookViewId="0">
      <pane xSplit="2" ySplit="4" topLeftCell="AT5" activePane="bottomRight" state="frozen"/>
      <selection pane="topRight" activeCell="C1" sqref="C1"/>
      <selection pane="bottomLeft" activeCell="A5" sqref="A5"/>
      <selection pane="bottomRight" activeCell="AN5" sqref="AN5:BC39"/>
    </sheetView>
  </sheetViews>
  <sheetFormatPr defaultRowHeight="14.25" outlineLevelRow="2" x14ac:dyDescent="0.45"/>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45">
      <c r="A1" s="73" t="s">
        <v>136</v>
      </c>
      <c r="B1" s="59"/>
      <c r="C1" s="59"/>
      <c r="D1" s="59"/>
      <c r="E1" s="59"/>
      <c r="F1" s="59"/>
      <c r="G1" s="59"/>
      <c r="I1" s="58" t="str">
        <f>Summary!$C$1</f>
        <v>Master+r7.0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4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4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4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45">
      <c r="A5" s="54" t="s">
        <v>229</v>
      </c>
      <c r="B5" s="54" t="s">
        <v>49</v>
      </c>
      <c r="C5" s="10" t="s">
        <v>230</v>
      </c>
      <c r="D5" s="54">
        <v>238146391</v>
      </c>
      <c r="E5" s="10">
        <v>10</v>
      </c>
      <c r="F5" s="10">
        <v>32</v>
      </c>
      <c r="G5" s="10">
        <v>30</v>
      </c>
      <c r="I5" s="11">
        <f t="shared" ref="I5:I39" si="0">IF(OR(ISBLANK(S5),ISBLANK(G5)),"·",S5*G5/F5/1000000)</f>
        <v>2.1856575</v>
      </c>
      <c r="J5" s="12">
        <f t="shared" ref="J5:J39" si="1">IF(ISBLANK(S5),"·",S5/D5)</f>
        <v>9.7896423716956511E-3</v>
      </c>
      <c r="K5" s="12">
        <f t="shared" ref="K5:K39" si="2">IF(N5="","·",N5/D5)</f>
        <v>6.211103992753768E-3</v>
      </c>
      <c r="L5" s="12">
        <f t="shared" ref="L5:L39" si="3">IF(T5="","·",T5/D5)</f>
        <v>3.5272086067430685E-3</v>
      </c>
      <c r="M5" s="12">
        <f t="shared" ref="M5:M39" si="4">IF(ISBLANK(V5),"·",V5/D5)</f>
        <v>3.5785383789418835E-3</v>
      </c>
      <c r="N5" s="54">
        <f t="shared" ref="N5:N39" si="5">IF(OR(ISBLANK(T5),ISBLANK(U5)),"",T5+U5)</f>
        <v>1479152</v>
      </c>
      <c r="O5" s="12">
        <v>16</v>
      </c>
      <c r="P5" s="13">
        <v>21785839</v>
      </c>
      <c r="Q5" s="13">
        <v>680807.46875</v>
      </c>
      <c r="R5" s="13">
        <v>13493.8125</v>
      </c>
      <c r="S5" s="14">
        <v>2331368</v>
      </c>
      <c r="T5" s="14">
        <v>839992</v>
      </c>
      <c r="U5" s="14">
        <v>639160</v>
      </c>
      <c r="V5" s="14">
        <v>852216</v>
      </c>
      <c r="W5" s="15">
        <v>66.354628125000005</v>
      </c>
      <c r="X5" s="15">
        <v>68.478525000000005</v>
      </c>
      <c r="Y5" s="15">
        <v>32.104728125000001</v>
      </c>
      <c r="Z5" s="15">
        <v>44.160262500000002</v>
      </c>
      <c r="AA5" s="15">
        <v>43.841843750000002</v>
      </c>
      <c r="AB5" s="16">
        <v>4008.95</v>
      </c>
      <c r="AC5" s="16">
        <v>1232.0999999999999</v>
      </c>
      <c r="AD5" s="16">
        <v>62.377000000000002</v>
      </c>
      <c r="AE5" s="16">
        <v>29.841999999999999</v>
      </c>
      <c r="AG5" s="11">
        <f t="shared" ref="AG5:AG39" si="6">IF(OR(ISBLANK(AQ5),ISBLANK(G5)),"·",AQ5*G5/F5/1000000)</f>
        <v>2.3313000000000001</v>
      </c>
      <c r="AH5" s="12">
        <f t="shared" ref="AH5:AH39" si="7">IF(ISBLANK(AQ5),"·",AQ5/D5)</f>
        <v>1.0441980621910832E-2</v>
      </c>
      <c r="AI5" s="12">
        <f t="shared" ref="AI5:AI39" si="8">IF(AL5="","·",AL5/D5)</f>
        <v>6.7035070038075862E-3</v>
      </c>
      <c r="AJ5" s="12">
        <f t="shared" ref="AJ5:AJ39" si="9">IF(AR5="","·",AR5/D5)</f>
        <v>3.6470340631783917E-3</v>
      </c>
      <c r="AK5" s="12">
        <f t="shared" ref="AK5:AK39" si="10">IF(ISBLANK(AT5),"·",AT5/D5)</f>
        <v>3.7384736181032448E-3</v>
      </c>
      <c r="AL5" s="54">
        <f t="shared" ref="AL5:AL39" si="11">IF(OR(ISBLANK(AR5),ISBLANK(AS5)),"",AR5+AS5)</f>
        <v>1596416</v>
      </c>
      <c r="AM5" s="12">
        <v>16</v>
      </c>
      <c r="AN5" s="13">
        <v>22038573</v>
      </c>
      <c r="AO5" s="13">
        <v>688705.40625</v>
      </c>
      <c r="AP5" s="13">
        <v>16487.1875</v>
      </c>
      <c r="AQ5" s="14">
        <v>2486720</v>
      </c>
      <c r="AR5" s="14">
        <v>868528</v>
      </c>
      <c r="AS5" s="14">
        <v>727888</v>
      </c>
      <c r="AT5" s="14">
        <v>890304</v>
      </c>
      <c r="AU5" s="15">
        <v>66.424962500000007</v>
      </c>
      <c r="AV5" s="15">
        <v>68.452878124999998</v>
      </c>
      <c r="AW5" s="15">
        <v>32.136937500000002</v>
      </c>
      <c r="AX5" s="15">
        <v>44.103246875000004</v>
      </c>
      <c r="AY5" s="15">
        <v>43.708815625</v>
      </c>
      <c r="AZ5" s="16">
        <v>2890.16</v>
      </c>
      <c r="BA5" s="16">
        <v>1153.3800000000001</v>
      </c>
      <c r="BB5" s="16">
        <v>76.096000000000004</v>
      </c>
      <c r="BC5" s="16">
        <v>36.28</v>
      </c>
      <c r="BE5" s="51">
        <f t="shared" ref="BE5:BE43" si="12">AI5/K5</f>
        <v>1.079277856501563</v>
      </c>
      <c r="BF5" s="17">
        <f t="shared" ref="BF5:BF39" si="13">(AP5/AO5) - (R5/Q5)</f>
        <v>4.1190840591436816E-3</v>
      </c>
      <c r="BG5" s="17">
        <f t="shared" ref="BG5:BG39" si="14">(AL5/AQ5) - (N5/S5)</f>
        <v>7.5199000790145965E-3</v>
      </c>
      <c r="BH5" s="17">
        <f t="array" ref="BH5">AVERAGE(AL5:AL9/AQ5:AQ9) - AVERAGE(N5:N9/S5:S9)</f>
        <v>8.796777315881632E-3</v>
      </c>
      <c r="BJ5" s="51">
        <f>IF( OR(ISBLANK(N5:N9),ISBLANK(AL5:AL9), ISBLANK(W5:W9),ISBLANK(AU5:AU9)), "·", bdRateExtend( N5:N9,W5:W9, AL5:AL9,AU5:AU9))</f>
        <v>6.6998420435443462E-2</v>
      </c>
      <c r="BK5" s="51">
        <f>IF( OR(ISBLANK(N5:N9),ISBLANK(AL5:AL9), ISBLANK(X5:X9),ISBLANK(AV5:AV9)), "·", bdRateExtend( N5:N9,X5:X9, AL5:AL9,AV5:AV9))</f>
        <v>7.848934618589154E-2</v>
      </c>
      <c r="BL5" s="51">
        <f>IF( OR(ISBLANK(V5:V9),ISBLANK(AT5:AT9), ISBLANK(Y5:Y9),ISBLANK(AW5:AW9)), "·", bdRateExtend( V5:V9,Y5:Y9, AT5:AT9,AW5:AW9))</f>
        <v>1.6191959317135796E-2</v>
      </c>
      <c r="BM5" s="51">
        <f>IF( OR(ISBLANK(V5:V9),ISBLANK(AT5:AT9), ISBLANK(Z5:Z9),ISBLANK(AX5:AX9)), "·", bdRateExtend( V5:V9,Z5:Z9, AT5:AT9,AX5:AX9))</f>
        <v>3.7745024388265103E-2</v>
      </c>
      <c r="BN5" s="51">
        <f>IF( OR(ISBLANK(V5:V9),ISBLANK(AT5:AT9), ISBLANK(AA5:AA9),ISBLANK(AY5:AY9)), "·", bdRateExtend( V5:V9,AA5:AA9, AT5:AT9,AY5:AY9))</f>
        <v>5.0906799106592127E-2</v>
      </c>
      <c r="BP5" s="51">
        <f>IF( OR(ISBLANK(S5:S9),ISBLANK(AQ5:AQ9), ISBLANK(W5:W9),ISBLANK(AU5:AU9)), "·", bdRateExtend( S5:S9,W5:W9, AQ5:AQ9,AU5:AU9))</f>
        <v>4.2265113942439259E-2</v>
      </c>
      <c r="BQ5" s="51">
        <f>IF( OR(ISBLANK(S5:S9),ISBLANK(AQ5:AQ9), ISBLANK(X5:X9),ISBLANK(AV5:AV9)), "·", bdRateExtend( S5:S9,X5:X9, AQ5:AQ9,AV5:AV9))</f>
        <v>6.0446718610232431E-2</v>
      </c>
      <c r="BR5" s="51">
        <f>IF( OR(ISBLANK(S5:S9),ISBLANK(AQ5:AQ9), ISBLANK(Y5:Y9),ISBLANK(AW5:AW9)), "·", bdRateExtend( S5:S9,Y5:Y9, AQ5:AQ9,AW5:AW9))</f>
        <v>3.416072212907606E-2</v>
      </c>
      <c r="BS5" s="51">
        <f>IF( OR(ISBLANK(S5:S9),ISBLANK(AQ5:AQ9), ISBLANK(Z5:Z9),ISBLANK(AX5:AX9)), "·", bdRateExtend( S5:S9,Z5:Z9, AQ5:AQ9,AX5:AX9))</f>
        <v>4.9196672798466068E-2</v>
      </c>
      <c r="BT5" s="51">
        <f>IF( OR(ISBLANK(S5:S9),ISBLANK(AQ5:AQ9), ISBLANK(AA5:AA9),ISBLANK(AY5:AY9)), "·", bdRateExtend( S5:S9,AA5:AA9, AQ5:AQ9,AY5:AY9))</f>
        <v>5.7539621547814113E-2</v>
      </c>
    </row>
    <row r="6" spans="1:72" outlineLevel="1" x14ac:dyDescent="0.45">
      <c r="A6" s="18"/>
      <c r="B6" s="18" t="s">
        <v>49</v>
      </c>
      <c r="C6" s="19" t="s">
        <v>231</v>
      </c>
      <c r="D6" s="18">
        <v>238146391</v>
      </c>
      <c r="E6" s="19">
        <v>10</v>
      </c>
      <c r="F6" s="19">
        <v>32</v>
      </c>
      <c r="G6" s="19">
        <v>30</v>
      </c>
      <c r="I6" s="20">
        <f t="shared" si="0"/>
        <v>3.4014674999999999</v>
      </c>
      <c r="J6" s="21">
        <f t="shared" si="1"/>
        <v>1.5235301214369442E-2</v>
      </c>
      <c r="K6" s="21">
        <f t="shared" si="2"/>
        <v>7.5753069043989841E-3</v>
      </c>
      <c r="L6" s="21">
        <f t="shared" si="3"/>
        <v>4.8914115183882837E-3</v>
      </c>
      <c r="M6" s="21">
        <f t="shared" si="4"/>
        <v>7.6599943099704589E-3</v>
      </c>
      <c r="N6" s="18">
        <f t="shared" si="5"/>
        <v>1804032</v>
      </c>
      <c r="O6" s="21">
        <v>16</v>
      </c>
      <c r="P6" s="22">
        <v>24191962</v>
      </c>
      <c r="Q6" s="22">
        <v>755998.8125</v>
      </c>
      <c r="R6" s="22">
        <v>19085.96875</v>
      </c>
      <c r="S6" s="23">
        <v>3628232</v>
      </c>
      <c r="T6" s="23">
        <v>1164872</v>
      </c>
      <c r="U6" s="23">
        <v>639160</v>
      </c>
      <c r="V6" s="23">
        <v>1824200</v>
      </c>
      <c r="W6" s="24">
        <v>68.255978124999999</v>
      </c>
      <c r="X6" s="24">
        <v>70.438459374999994</v>
      </c>
      <c r="Y6" s="24">
        <v>34.355628125000003</v>
      </c>
      <c r="Z6" s="24">
        <v>45.457171875</v>
      </c>
      <c r="AA6" s="24">
        <v>45.25540625</v>
      </c>
      <c r="AB6" s="25">
        <v>3013.3</v>
      </c>
      <c r="AC6" s="25">
        <v>1475.98</v>
      </c>
      <c r="AD6" s="25">
        <v>82.941999999999993</v>
      </c>
      <c r="AE6" s="25">
        <v>37.209000000000003</v>
      </c>
      <c r="AG6" s="20">
        <f t="shared" si="6"/>
        <v>3.5807625000000001</v>
      </c>
      <c r="AH6" s="21">
        <f t="shared" si="7"/>
        <v>1.6038370281244364E-2</v>
      </c>
      <c r="AI6" s="21">
        <f t="shared" si="8"/>
        <v>8.1072486208703456E-3</v>
      </c>
      <c r="AJ6" s="21">
        <f t="shared" si="9"/>
        <v>5.0507756802411503E-3</v>
      </c>
      <c r="AK6" s="21">
        <f t="shared" si="10"/>
        <v>7.9311216603740169E-3</v>
      </c>
      <c r="AL6" s="18">
        <f t="shared" si="11"/>
        <v>1930712</v>
      </c>
      <c r="AM6" s="21">
        <v>16</v>
      </c>
      <c r="AN6" s="22">
        <v>24381134</v>
      </c>
      <c r="AO6" s="22">
        <v>761910.4375</v>
      </c>
      <c r="AP6" s="22">
        <v>22696.375</v>
      </c>
      <c r="AQ6" s="23">
        <v>3819480</v>
      </c>
      <c r="AR6" s="23">
        <v>1202824</v>
      </c>
      <c r="AS6" s="23">
        <v>727888</v>
      </c>
      <c r="AT6" s="23">
        <v>1888768</v>
      </c>
      <c r="AU6" s="24">
        <v>68.307209374999999</v>
      </c>
      <c r="AV6" s="24">
        <v>70.416793749999997</v>
      </c>
      <c r="AW6" s="24">
        <v>34.395940625000001</v>
      </c>
      <c r="AX6" s="24">
        <v>45.439875000000001</v>
      </c>
      <c r="AY6" s="24">
        <v>45.177909374999999</v>
      </c>
      <c r="AZ6" s="25">
        <v>4430</v>
      </c>
      <c r="BA6" s="25">
        <v>2349.7199999999998</v>
      </c>
      <c r="BB6" s="25">
        <v>80.975999999999999</v>
      </c>
      <c r="BC6" s="25">
        <v>34.527999999999999</v>
      </c>
      <c r="BE6" s="50">
        <f t="shared" si="12"/>
        <v>1.0702204838938556</v>
      </c>
      <c r="BF6" s="26">
        <f t="shared" si="13"/>
        <v>4.5427402187450984E-3</v>
      </c>
      <c r="BG6" s="26">
        <f t="shared" si="14"/>
        <v>8.2701148991729534E-3</v>
      </c>
      <c r="BH6" s="26"/>
      <c r="BJ6" s="50"/>
      <c r="BK6" s="50"/>
      <c r="BL6" s="50"/>
      <c r="BM6" s="50"/>
      <c r="BN6" s="50"/>
      <c r="BP6" s="50"/>
      <c r="BQ6" s="50"/>
      <c r="BR6" s="50"/>
      <c r="BS6" s="50"/>
      <c r="BT6" s="50"/>
    </row>
    <row r="7" spans="1:72" outlineLevel="1" x14ac:dyDescent="0.45">
      <c r="A7" s="54"/>
      <c r="B7" s="54" t="s">
        <v>49</v>
      </c>
      <c r="C7" s="10" t="s">
        <v>232</v>
      </c>
      <c r="D7" s="54">
        <v>238146391</v>
      </c>
      <c r="E7" s="10">
        <v>10</v>
      </c>
      <c r="F7" s="10">
        <v>32</v>
      </c>
      <c r="G7" s="10">
        <v>30</v>
      </c>
      <c r="I7" s="11">
        <f t="shared" si="0"/>
        <v>5.5771199999999999</v>
      </c>
      <c r="J7" s="12">
        <f t="shared" si="1"/>
        <v>2.498013081373969E-2</v>
      </c>
      <c r="K7" s="12">
        <f t="shared" si="2"/>
        <v>9.522613340800113E-3</v>
      </c>
      <c r="L7" s="12">
        <f t="shared" si="3"/>
        <v>6.8387179547894136E-3</v>
      </c>
      <c r="M7" s="12">
        <f t="shared" si="4"/>
        <v>1.5457517472939575E-2</v>
      </c>
      <c r="N7" s="54">
        <f t="shared" si="5"/>
        <v>2267776</v>
      </c>
      <c r="O7" s="12">
        <v>16</v>
      </c>
      <c r="P7" s="13">
        <v>24808216</v>
      </c>
      <c r="Q7" s="13">
        <v>775256.75</v>
      </c>
      <c r="R7" s="13">
        <v>20954.78125</v>
      </c>
      <c r="S7" s="14">
        <v>5948928</v>
      </c>
      <c r="T7" s="14">
        <v>1628616</v>
      </c>
      <c r="U7" s="14">
        <v>639160</v>
      </c>
      <c r="V7" s="14">
        <v>3681152</v>
      </c>
      <c r="W7" s="15">
        <v>69.683724999999995</v>
      </c>
      <c r="X7" s="15">
        <v>72.129403124999996</v>
      </c>
      <c r="Y7" s="15">
        <v>36.897065625000003</v>
      </c>
      <c r="Z7" s="15">
        <v>46.589962499999999</v>
      </c>
      <c r="AA7" s="15">
        <v>46.485678125</v>
      </c>
      <c r="AB7" s="16">
        <v>2940.07</v>
      </c>
      <c r="AC7" s="16">
        <v>1487.87</v>
      </c>
      <c r="AD7" s="16">
        <v>82.927999999999997</v>
      </c>
      <c r="AE7" s="16">
        <v>37.287999999999997</v>
      </c>
      <c r="AG7" s="11">
        <f t="shared" si="6"/>
        <v>5.8168125000000002</v>
      </c>
      <c r="AH7" s="12">
        <f t="shared" si="7"/>
        <v>2.605372256092682E-2</v>
      </c>
      <c r="AI7" s="12">
        <f t="shared" si="8"/>
        <v>1.0149387483264443E-2</v>
      </c>
      <c r="AJ7" s="12">
        <f t="shared" si="9"/>
        <v>7.092914542635248E-3</v>
      </c>
      <c r="AK7" s="12">
        <f t="shared" si="10"/>
        <v>1.5904335077662379E-2</v>
      </c>
      <c r="AL7" s="54">
        <f t="shared" si="11"/>
        <v>2417040</v>
      </c>
      <c r="AM7" s="12">
        <v>16</v>
      </c>
      <c r="AN7" s="13">
        <v>25002365</v>
      </c>
      <c r="AO7" s="13">
        <v>781323.90625</v>
      </c>
      <c r="AP7" s="13">
        <v>25149.625</v>
      </c>
      <c r="AQ7" s="14">
        <v>6204600</v>
      </c>
      <c r="AR7" s="14">
        <v>1689152</v>
      </c>
      <c r="AS7" s="14">
        <v>727888</v>
      </c>
      <c r="AT7" s="14">
        <v>3787560</v>
      </c>
      <c r="AU7" s="15">
        <v>69.706671874999998</v>
      </c>
      <c r="AV7" s="15">
        <v>72.083699999999993</v>
      </c>
      <c r="AW7" s="15">
        <v>36.949346875000003</v>
      </c>
      <c r="AX7" s="15">
        <v>46.543159375000002</v>
      </c>
      <c r="AY7" s="15">
        <v>46.438331249999997</v>
      </c>
      <c r="AZ7" s="16">
        <v>3094.86</v>
      </c>
      <c r="BA7" s="16">
        <v>1507.62</v>
      </c>
      <c r="BB7" s="16">
        <v>71.168000000000006</v>
      </c>
      <c r="BC7" s="16">
        <v>29.035</v>
      </c>
      <c r="BE7" s="51">
        <f t="shared" si="12"/>
        <v>1.0658195518428628</v>
      </c>
      <c r="BF7" s="17">
        <f t="shared" si="13"/>
        <v>5.1590021536815668E-3</v>
      </c>
      <c r="BG7" s="17">
        <f t="shared" si="14"/>
        <v>8.348630821444214E-3</v>
      </c>
      <c r="BH7" s="17"/>
      <c r="BJ7" s="51"/>
      <c r="BK7" s="51"/>
      <c r="BL7" s="51"/>
      <c r="BM7" s="51"/>
      <c r="BN7" s="51"/>
      <c r="BP7" s="51"/>
      <c r="BQ7" s="51"/>
      <c r="BR7" s="51"/>
      <c r="BS7" s="51"/>
      <c r="BT7" s="51"/>
    </row>
    <row r="8" spans="1:72" outlineLevel="1" x14ac:dyDescent="0.45">
      <c r="A8" s="18"/>
      <c r="B8" s="18" t="s">
        <v>49</v>
      </c>
      <c r="C8" s="19" t="s">
        <v>233</v>
      </c>
      <c r="D8" s="18">
        <v>238146391</v>
      </c>
      <c r="E8" s="19">
        <v>10</v>
      </c>
      <c r="F8" s="19">
        <v>32</v>
      </c>
      <c r="G8" s="19">
        <v>30</v>
      </c>
      <c r="I8" s="20">
        <f t="shared" si="0"/>
        <v>9.4412924999999994</v>
      </c>
      <c r="J8" s="21">
        <f t="shared" si="1"/>
        <v>4.2287905173419155E-2</v>
      </c>
      <c r="K8" s="21">
        <f t="shared" si="2"/>
        <v>1.2784640519704538E-2</v>
      </c>
      <c r="L8" s="21">
        <f t="shared" si="3"/>
        <v>1.0100745133693839E-2</v>
      </c>
      <c r="M8" s="21">
        <f t="shared" si="4"/>
        <v>2.9503264653714615E-2</v>
      </c>
      <c r="N8" s="18">
        <f t="shared" si="5"/>
        <v>3044616</v>
      </c>
      <c r="O8" s="21">
        <v>16</v>
      </c>
      <c r="P8" s="22">
        <v>25797809</v>
      </c>
      <c r="Q8" s="22">
        <v>806181.53125</v>
      </c>
      <c r="R8" s="22">
        <v>24199.8125</v>
      </c>
      <c r="S8" s="23">
        <v>10070712</v>
      </c>
      <c r="T8" s="23">
        <v>2405456</v>
      </c>
      <c r="U8" s="23">
        <v>639160</v>
      </c>
      <c r="V8" s="23">
        <v>7026096</v>
      </c>
      <c r="W8" s="24">
        <v>70.836840624999994</v>
      </c>
      <c r="X8" s="24">
        <v>73.406981250000001</v>
      </c>
      <c r="Y8" s="24">
        <v>39.525215625000001</v>
      </c>
      <c r="Z8" s="24">
        <v>47.905425000000001</v>
      </c>
      <c r="AA8" s="24">
        <v>47.942124999999997</v>
      </c>
      <c r="AB8" s="25">
        <v>4089.32</v>
      </c>
      <c r="AC8" s="25">
        <v>2462.58</v>
      </c>
      <c r="AD8" s="25">
        <v>57.444000000000003</v>
      </c>
      <c r="AE8" s="25">
        <v>24.931999999999999</v>
      </c>
      <c r="AG8" s="20">
        <f t="shared" si="6"/>
        <v>9.7829999999999995</v>
      </c>
      <c r="AH8" s="21">
        <f t="shared" si="7"/>
        <v>4.3818425952967727E-2</v>
      </c>
      <c r="AI8" s="21">
        <f t="shared" si="8"/>
        <v>1.3582704261934416E-2</v>
      </c>
      <c r="AJ8" s="21">
        <f t="shared" si="9"/>
        <v>1.0526231321305222E-2</v>
      </c>
      <c r="AK8" s="21">
        <f t="shared" si="10"/>
        <v>3.0235721691033311E-2</v>
      </c>
      <c r="AL8" s="18">
        <f t="shared" si="11"/>
        <v>3234672</v>
      </c>
      <c r="AM8" s="21">
        <v>16</v>
      </c>
      <c r="AN8" s="22">
        <v>26160242</v>
      </c>
      <c r="AO8" s="22">
        <v>817507.5625</v>
      </c>
      <c r="AP8" s="22">
        <v>29146.6875</v>
      </c>
      <c r="AQ8" s="23">
        <v>10435200</v>
      </c>
      <c r="AR8" s="23">
        <v>2506784</v>
      </c>
      <c r="AS8" s="23">
        <v>727888</v>
      </c>
      <c r="AT8" s="23">
        <v>7200528</v>
      </c>
      <c r="AU8" s="24">
        <v>70.775609375000002</v>
      </c>
      <c r="AV8" s="24">
        <v>73.328143749999995</v>
      </c>
      <c r="AW8" s="24">
        <v>39.584206250000001</v>
      </c>
      <c r="AX8" s="24">
        <v>47.912149999999997</v>
      </c>
      <c r="AY8" s="24">
        <v>47.945168750000001</v>
      </c>
      <c r="AZ8" s="25">
        <v>4188.88</v>
      </c>
      <c r="BA8" s="25">
        <v>2476.1999999999998</v>
      </c>
      <c r="BB8" s="25">
        <v>79.298000000000002</v>
      </c>
      <c r="BC8" s="25">
        <v>28.87</v>
      </c>
      <c r="BE8" s="50">
        <f t="shared" si="12"/>
        <v>1.0624236356900181</v>
      </c>
      <c r="BF8" s="26">
        <f t="shared" si="13"/>
        <v>5.635290042832572E-3</v>
      </c>
      <c r="BG8" s="26">
        <f t="shared" si="14"/>
        <v>7.6531930303125328E-3</v>
      </c>
      <c r="BH8" s="26"/>
      <c r="BJ8" s="50"/>
      <c r="BK8" s="50"/>
      <c r="BL8" s="50"/>
      <c r="BM8" s="50"/>
      <c r="BN8" s="50"/>
      <c r="BP8" s="50"/>
      <c r="BQ8" s="50"/>
      <c r="BR8" s="50"/>
      <c r="BS8" s="50"/>
      <c r="BT8" s="50"/>
    </row>
    <row r="9" spans="1:72" outlineLevel="1" x14ac:dyDescent="0.45">
      <c r="A9" s="54"/>
      <c r="B9" s="27" t="s">
        <v>49</v>
      </c>
      <c r="C9" s="28" t="s">
        <v>234</v>
      </c>
      <c r="D9" s="27">
        <v>238146391</v>
      </c>
      <c r="E9" s="28">
        <v>10</v>
      </c>
      <c r="F9" s="28">
        <v>32</v>
      </c>
      <c r="G9" s="28">
        <v>30</v>
      </c>
      <c r="I9" s="29">
        <f t="shared" si="0"/>
        <v>16.818832499999999</v>
      </c>
      <c r="J9" s="30">
        <f t="shared" si="1"/>
        <v>7.5332185067629259E-2</v>
      </c>
      <c r="K9" s="30">
        <f t="shared" si="2"/>
        <v>2.068986214449918E-2</v>
      </c>
      <c r="L9" s="30">
        <f t="shared" si="3"/>
        <v>1.5547781280464586E-2</v>
      </c>
      <c r="M9" s="30">
        <f t="shared" si="4"/>
        <v>5.4642322923130086E-2</v>
      </c>
      <c r="N9" s="27">
        <f t="shared" si="5"/>
        <v>4927216</v>
      </c>
      <c r="O9" s="30">
        <v>16</v>
      </c>
      <c r="P9" s="31">
        <v>24868389</v>
      </c>
      <c r="Q9" s="31">
        <v>777137.15625</v>
      </c>
      <c r="R9" s="31">
        <v>10635.96875</v>
      </c>
      <c r="S9" s="32">
        <v>17940088</v>
      </c>
      <c r="T9" s="32">
        <v>3702648</v>
      </c>
      <c r="U9" s="32">
        <v>1224568</v>
      </c>
      <c r="V9" s="32">
        <v>13012872</v>
      </c>
      <c r="W9" s="33">
        <v>71.945243750000003</v>
      </c>
      <c r="X9" s="33">
        <v>75.319240625000006</v>
      </c>
      <c r="Y9" s="33">
        <v>42.1278875</v>
      </c>
      <c r="Z9" s="33">
        <v>49.411659374999999</v>
      </c>
      <c r="AA9" s="33">
        <v>49.554578124999999</v>
      </c>
      <c r="AB9" s="34">
        <v>3642</v>
      </c>
      <c r="AC9" s="34">
        <v>1972.52</v>
      </c>
      <c r="AD9" s="34">
        <v>47.82</v>
      </c>
      <c r="AE9" s="34">
        <v>23.7</v>
      </c>
      <c r="AG9" s="29">
        <f t="shared" si="6"/>
        <v>17.398620000000001</v>
      </c>
      <c r="AH9" s="30">
        <f t="shared" si="7"/>
        <v>7.7929075146051657E-2</v>
      </c>
      <c r="AI9" s="30">
        <f t="shared" si="8"/>
        <v>2.2353208787447044E-2</v>
      </c>
      <c r="AJ9" s="30">
        <f t="shared" si="9"/>
        <v>1.6294145729884271E-2</v>
      </c>
      <c r="AK9" s="30">
        <f t="shared" si="10"/>
        <v>5.5575866358604613E-2</v>
      </c>
      <c r="AL9" s="27">
        <f t="shared" si="11"/>
        <v>5323336</v>
      </c>
      <c r="AM9" s="30">
        <v>16</v>
      </c>
      <c r="AN9" s="31">
        <v>25050079</v>
      </c>
      <c r="AO9" s="31">
        <v>782814.96875</v>
      </c>
      <c r="AP9" s="31">
        <v>13040.28125</v>
      </c>
      <c r="AQ9" s="32">
        <v>18558528</v>
      </c>
      <c r="AR9" s="32">
        <v>3880392</v>
      </c>
      <c r="AS9" s="32">
        <v>1442944</v>
      </c>
      <c r="AT9" s="32">
        <v>13235192</v>
      </c>
      <c r="AU9" s="33">
        <v>72.030784374999996</v>
      </c>
      <c r="AV9" s="33">
        <v>75.301909374999994</v>
      </c>
      <c r="AW9" s="33">
        <v>42.183178124999998</v>
      </c>
      <c r="AX9" s="33">
        <v>49.463665624999997</v>
      </c>
      <c r="AY9" s="33">
        <v>49.596834375</v>
      </c>
      <c r="AZ9" s="34">
        <v>4840.8</v>
      </c>
      <c r="BA9" s="34">
        <v>3071.24</v>
      </c>
      <c r="BB9" s="34">
        <v>81.481999999999999</v>
      </c>
      <c r="BC9" s="34">
        <v>32.997</v>
      </c>
      <c r="BE9" s="35">
        <f t="shared" si="12"/>
        <v>1.0803942835061422</v>
      </c>
      <c r="BF9" s="36">
        <f t="shared" si="13"/>
        <v>2.9721013806394154E-3</v>
      </c>
      <c r="BG9" s="36">
        <f t="shared" si="14"/>
        <v>1.2192047749463863E-2</v>
      </c>
      <c r="BH9" s="36"/>
      <c r="BJ9" s="35"/>
      <c r="BK9" s="35"/>
      <c r="BL9" s="35"/>
      <c r="BM9" s="35"/>
      <c r="BN9" s="35"/>
      <c r="BP9" s="35"/>
      <c r="BQ9" s="35"/>
      <c r="BR9" s="35"/>
      <c r="BS9" s="35"/>
      <c r="BT9" s="35"/>
    </row>
    <row r="10" spans="1:72" x14ac:dyDescent="0.45">
      <c r="A10" s="18"/>
      <c r="B10" s="18" t="s">
        <v>57</v>
      </c>
      <c r="C10" s="19" t="s">
        <v>230</v>
      </c>
      <c r="D10" s="18">
        <v>218121242</v>
      </c>
      <c r="E10" s="19">
        <v>10</v>
      </c>
      <c r="F10" s="19">
        <v>32</v>
      </c>
      <c r="G10" s="19">
        <v>30</v>
      </c>
      <c r="I10" s="20">
        <f t="shared" si="0"/>
        <v>3.2118150000000001</v>
      </c>
      <c r="J10" s="21">
        <f t="shared" si="1"/>
        <v>1.5706567451142607E-2</v>
      </c>
      <c r="K10" s="21">
        <f t="shared" si="2"/>
        <v>8.1856126603203558E-3</v>
      </c>
      <c r="L10" s="21">
        <f t="shared" si="3"/>
        <v>4.2806284772576161E-3</v>
      </c>
      <c r="M10" s="21">
        <f t="shared" si="4"/>
        <v>7.520954790822253E-3</v>
      </c>
      <c r="N10" s="18">
        <f t="shared" si="5"/>
        <v>1785456</v>
      </c>
      <c r="O10" s="21">
        <v>16</v>
      </c>
      <c r="P10" s="22">
        <v>20666971</v>
      </c>
      <c r="Q10" s="22">
        <v>645842.84375</v>
      </c>
      <c r="R10" s="22">
        <v>18163.46875</v>
      </c>
      <c r="S10" s="23">
        <v>3425936</v>
      </c>
      <c r="T10" s="23">
        <v>933696</v>
      </c>
      <c r="U10" s="23">
        <v>851760</v>
      </c>
      <c r="V10" s="23">
        <v>1640480</v>
      </c>
      <c r="W10" s="24">
        <v>65.904412500000007</v>
      </c>
      <c r="X10" s="24">
        <v>67.822759375000004</v>
      </c>
      <c r="Y10" s="24">
        <v>32.386865624999999</v>
      </c>
      <c r="Z10" s="24">
        <v>39.175778125000001</v>
      </c>
      <c r="AA10" s="24">
        <v>32.086631250000003</v>
      </c>
      <c r="AB10" s="25">
        <v>3708.01</v>
      </c>
      <c r="AC10" s="25">
        <v>2088.61</v>
      </c>
      <c r="AD10" s="25">
        <v>39.152000000000001</v>
      </c>
      <c r="AE10" s="25">
        <v>20.655999999999999</v>
      </c>
      <c r="AG10" s="20">
        <f t="shared" si="6"/>
        <v>3.5184899999999999</v>
      </c>
      <c r="AH10" s="21">
        <f t="shared" si="7"/>
        <v>1.7206283833648812E-2</v>
      </c>
      <c r="AI10" s="21">
        <f t="shared" si="8"/>
        <v>9.1762910464263728E-3</v>
      </c>
      <c r="AJ10" s="21">
        <f t="shared" si="9"/>
        <v>4.542317799565803E-3</v>
      </c>
      <c r="AK10" s="21">
        <f t="shared" si="10"/>
        <v>8.029992787222438E-3</v>
      </c>
      <c r="AL10" s="18">
        <f t="shared" si="11"/>
        <v>2001544</v>
      </c>
      <c r="AM10" s="21">
        <v>16</v>
      </c>
      <c r="AN10" s="22">
        <v>21059490</v>
      </c>
      <c r="AO10" s="22">
        <v>658109.0625</v>
      </c>
      <c r="AP10" s="22">
        <v>24029.3125</v>
      </c>
      <c r="AQ10" s="23">
        <v>3753056</v>
      </c>
      <c r="AR10" s="23">
        <v>990776</v>
      </c>
      <c r="AS10" s="23">
        <v>1010768</v>
      </c>
      <c r="AT10" s="23">
        <v>1751512</v>
      </c>
      <c r="AU10" s="24">
        <v>66.040162499999994</v>
      </c>
      <c r="AV10" s="24">
        <v>67.82025625</v>
      </c>
      <c r="AW10" s="24">
        <v>32.486537499999997</v>
      </c>
      <c r="AX10" s="24">
        <v>39.199412500000001</v>
      </c>
      <c r="AY10" s="24">
        <v>32.190303125</v>
      </c>
      <c r="AZ10" s="25">
        <v>4113.12</v>
      </c>
      <c r="BA10" s="25">
        <v>2422.4699999999998</v>
      </c>
      <c r="BB10" s="25">
        <v>70.55</v>
      </c>
      <c r="BC10" s="25">
        <v>35.811</v>
      </c>
      <c r="BE10" s="50">
        <f t="shared" si="12"/>
        <v>1.1210267853142277</v>
      </c>
      <c r="BF10" s="26">
        <f t="shared" si="13"/>
        <v>8.3889935866681004E-3</v>
      </c>
      <c r="BG10" s="26">
        <f t="shared" si="14"/>
        <v>1.2151856958776963E-2</v>
      </c>
      <c r="BH10" s="26">
        <f t="array" ref="BH10">AVERAGE(AL10:AL14/AQ10:AQ14) - AVERAGE(N10:N14/S10:S14)</f>
        <v>1.1135525097356824E-2</v>
      </c>
      <c r="BJ10" s="50">
        <f>IF( OR(ISBLANK(N10:N14),ISBLANK(AL10:AL14), ISBLANK(W10:W14),ISBLANK(AU10:AU14)), "·", bdRateExtend( N10:N14,W10:W14, AL10:AL14,AU10:AU14))</f>
        <v>9.453445160044871E-2</v>
      </c>
      <c r="BK10" s="50">
        <f>IF( OR(ISBLANK(N10:N14),ISBLANK(AL10:AL14), ISBLANK(X10:X14),ISBLANK(AV10:AV14)), "·", bdRateExtend( N10:N14,X10:X14, AL10:AL14,AV10:AV14))</f>
        <v>0.11717142485898902</v>
      </c>
      <c r="BL10" s="50">
        <f>IF( OR(ISBLANK(V10:V14),ISBLANK(AT10:AT14), ISBLANK(Y10:Y14),ISBLANK(AW10:AW14)), "·", bdRateExtend( V10:V14,Y10:Y14, AT10:AT14,AW10:AW14))</f>
        <v>2.2011910942000501E-2</v>
      </c>
      <c r="BM10" s="50">
        <f>IF( OR(ISBLANK(V10:V14),ISBLANK(AT10:AT14), ISBLANK(Z10:Z14),ISBLANK(AX10:AX14)), "·", bdRateExtend( V10:V14,Z10:Z14, AT10:AT14,AX10:AX14))</f>
        <v>1.8872720133640497E-2</v>
      </c>
      <c r="BN10" s="50">
        <f>IF( OR(ISBLANK(V10:V14),ISBLANK(AT10:AT14), ISBLANK(AA10:AA14),ISBLANK(AY10:AY14)), "·", bdRateExtend( V10:V14,AA10:AA14, AT10:AT14,AY10:AY14))</f>
        <v>-2.7421283260802287E-3</v>
      </c>
      <c r="BP10" s="50">
        <f>IF( OR(ISBLANK(S10:S14),ISBLANK(AQ10:AQ14), ISBLANK(W10:W14),ISBLANK(AU10:AU14)), "·", bdRateExtend( S10:S14,W10:W14, AQ10:AQ14,AU10:AU14))</f>
        <v>5.7510184193519276E-2</v>
      </c>
      <c r="BQ10" s="50">
        <f>IF( OR(ISBLANK(S10:S14),ISBLANK(AQ10:AQ14), ISBLANK(X10:X14),ISBLANK(AV10:AV14)), "·", bdRateExtend( S10:S14,X10:X14, AQ10:AQ14,AV10:AV14))</f>
        <v>8.8017400839773829E-2</v>
      </c>
      <c r="BR10" s="50">
        <f>IF( OR(ISBLANK(S10:S14),ISBLANK(AQ10:AQ14), ISBLANK(Y10:Y14),ISBLANK(AW10:AW14)), "·", bdRateExtend( S10:S14,Y10:Y14, AQ10:AQ14,AW10:AW14))</f>
        <v>4.5265296019801227E-2</v>
      </c>
      <c r="BS10" s="50">
        <f>IF( OR(ISBLANK(S10:S14),ISBLANK(AQ10:AQ14), ISBLANK(Z10:Z14),ISBLANK(AX10:AX14)), "·", bdRateExtend( S10:S14,Z10:Z14, AQ10:AQ14,AX10:AX14))</f>
        <v>4.1870448213920719E-2</v>
      </c>
      <c r="BT10" s="50">
        <f>IF( OR(ISBLANK(S10:S14),ISBLANK(AQ10:AQ14), ISBLANK(AA10:AA14),ISBLANK(AY10:AY14)), "·", bdRateExtend( S10:S14,AA10:AA14, AQ10:AQ14,AY10:AY14))</f>
        <v>2.3409873907820122E-2</v>
      </c>
    </row>
    <row r="11" spans="1:72" outlineLevel="1" x14ac:dyDescent="0.45">
      <c r="A11" s="54"/>
      <c r="B11" s="54" t="s">
        <v>57</v>
      </c>
      <c r="C11" s="10" t="s">
        <v>231</v>
      </c>
      <c r="D11" s="54">
        <v>218121242</v>
      </c>
      <c r="E11" s="10">
        <v>10</v>
      </c>
      <c r="F11" s="10">
        <v>32</v>
      </c>
      <c r="G11" s="10">
        <v>30</v>
      </c>
      <c r="I11" s="11">
        <f t="shared" si="0"/>
        <v>4.6275075000000001</v>
      </c>
      <c r="J11" s="12">
        <f t="shared" si="1"/>
        <v>2.2629652915693556E-2</v>
      </c>
      <c r="K11" s="12">
        <f t="shared" si="2"/>
        <v>9.9355385111918621E-3</v>
      </c>
      <c r="L11" s="12">
        <f t="shared" si="3"/>
        <v>6.0305543281291233E-3</v>
      </c>
      <c r="M11" s="12">
        <f t="shared" si="4"/>
        <v>1.2694114404501694E-2</v>
      </c>
      <c r="N11" s="54">
        <f t="shared" si="5"/>
        <v>2167152</v>
      </c>
      <c r="O11" s="12">
        <v>16</v>
      </c>
      <c r="P11" s="13">
        <v>22097663</v>
      </c>
      <c r="Q11" s="13">
        <v>690551.96875</v>
      </c>
      <c r="R11" s="13">
        <v>22957.28125</v>
      </c>
      <c r="S11" s="14">
        <v>4936008</v>
      </c>
      <c r="T11" s="14">
        <v>1315392</v>
      </c>
      <c r="U11" s="14">
        <v>851760</v>
      </c>
      <c r="V11" s="14">
        <v>2768856</v>
      </c>
      <c r="W11" s="15">
        <v>67.607918749999996</v>
      </c>
      <c r="X11" s="15">
        <v>69.699943750000003</v>
      </c>
      <c r="Y11" s="15">
        <v>34.247959375000001</v>
      </c>
      <c r="Z11" s="15">
        <v>40.027190625000003</v>
      </c>
      <c r="AA11" s="15">
        <v>33.861478124999998</v>
      </c>
      <c r="AB11" s="16">
        <v>4154.45</v>
      </c>
      <c r="AC11" s="16">
        <v>2537.4899999999998</v>
      </c>
      <c r="AD11" s="16">
        <v>74.427000000000007</v>
      </c>
      <c r="AE11" s="16">
        <v>38.497999999999998</v>
      </c>
      <c r="AG11" s="11">
        <f t="shared" si="6"/>
        <v>5.0282249999999999</v>
      </c>
      <c r="AH11" s="12">
        <f t="shared" si="7"/>
        <v>2.4589260316058535E-2</v>
      </c>
      <c r="AI11" s="12">
        <f t="shared" si="8"/>
        <v>1.1047910684462359E-2</v>
      </c>
      <c r="AJ11" s="12">
        <f t="shared" si="9"/>
        <v>6.4139374376017905E-3</v>
      </c>
      <c r="AK11" s="12">
        <f t="shared" si="10"/>
        <v>1.3541349631596174E-2</v>
      </c>
      <c r="AL11" s="54">
        <f t="shared" si="11"/>
        <v>2409784</v>
      </c>
      <c r="AM11" s="12">
        <v>16</v>
      </c>
      <c r="AN11" s="13">
        <v>22768026</v>
      </c>
      <c r="AO11" s="13">
        <v>711500.8125</v>
      </c>
      <c r="AP11" s="13">
        <v>31270.0625</v>
      </c>
      <c r="AQ11" s="14">
        <v>5363440</v>
      </c>
      <c r="AR11" s="14">
        <v>1399016</v>
      </c>
      <c r="AS11" s="14">
        <v>1010768</v>
      </c>
      <c r="AT11" s="14">
        <v>2953656</v>
      </c>
      <c r="AU11" s="15">
        <v>67.727134375000006</v>
      </c>
      <c r="AV11" s="15">
        <v>69.694415625000005</v>
      </c>
      <c r="AW11" s="15">
        <v>34.36061875</v>
      </c>
      <c r="AX11" s="15">
        <v>40.082006249999999</v>
      </c>
      <c r="AY11" s="15">
        <v>33.998446874999999</v>
      </c>
      <c r="AZ11" s="16">
        <v>4567.38</v>
      </c>
      <c r="BA11" s="16">
        <v>1720.32</v>
      </c>
      <c r="BB11" s="16">
        <v>72.751999999999995</v>
      </c>
      <c r="BC11" s="16">
        <v>30.228000000000002</v>
      </c>
      <c r="BE11" s="51">
        <f t="shared" si="12"/>
        <v>1.111958921201651</v>
      </c>
      <c r="BF11" s="17">
        <f t="shared" si="13"/>
        <v>1.0704612579871486E-2</v>
      </c>
      <c r="BG11" s="17">
        <f t="shared" si="14"/>
        <v>1.0248680071283101E-2</v>
      </c>
      <c r="BH11" s="17"/>
      <c r="BJ11" s="51"/>
      <c r="BK11" s="51"/>
      <c r="BL11" s="51"/>
      <c r="BM11" s="51"/>
      <c r="BN11" s="51"/>
      <c r="BP11" s="51"/>
      <c r="BQ11" s="51"/>
      <c r="BR11" s="51"/>
      <c r="BS11" s="51"/>
      <c r="BT11" s="51"/>
    </row>
    <row r="12" spans="1:72" outlineLevel="1" x14ac:dyDescent="0.45">
      <c r="A12" s="18"/>
      <c r="B12" s="18" t="s">
        <v>57</v>
      </c>
      <c r="C12" s="19" t="s">
        <v>232</v>
      </c>
      <c r="D12" s="18">
        <v>218121242</v>
      </c>
      <c r="E12" s="19">
        <v>10</v>
      </c>
      <c r="F12" s="19">
        <v>32</v>
      </c>
      <c r="G12" s="19">
        <v>30</v>
      </c>
      <c r="I12" s="20">
        <f t="shared" si="0"/>
        <v>7.1472224999999998</v>
      </c>
      <c r="J12" s="21">
        <f t="shared" si="1"/>
        <v>3.495168068041718E-2</v>
      </c>
      <c r="K12" s="21">
        <f t="shared" si="2"/>
        <v>1.2619110246951556E-2</v>
      </c>
      <c r="L12" s="21">
        <f t="shared" si="3"/>
        <v>8.714126063888817E-3</v>
      </c>
      <c r="M12" s="21">
        <f t="shared" si="4"/>
        <v>2.2332570433465624E-2</v>
      </c>
      <c r="N12" s="18">
        <f t="shared" si="5"/>
        <v>2752496</v>
      </c>
      <c r="O12" s="21">
        <v>16</v>
      </c>
      <c r="P12" s="22">
        <v>22510846</v>
      </c>
      <c r="Q12" s="22">
        <v>703463.9375</v>
      </c>
      <c r="R12" s="22">
        <v>24709.6875</v>
      </c>
      <c r="S12" s="23">
        <v>7623704</v>
      </c>
      <c r="T12" s="23">
        <v>1900736</v>
      </c>
      <c r="U12" s="23">
        <v>851760</v>
      </c>
      <c r="V12" s="23">
        <v>4871208</v>
      </c>
      <c r="W12" s="24">
        <v>68.956062500000002</v>
      </c>
      <c r="X12" s="24">
        <v>71.331965624999995</v>
      </c>
      <c r="Y12" s="24">
        <v>36.351884374999997</v>
      </c>
      <c r="Z12" s="24">
        <v>40.928596874999997</v>
      </c>
      <c r="AA12" s="24">
        <v>35.641468750000001</v>
      </c>
      <c r="AB12" s="25">
        <v>3848.01</v>
      </c>
      <c r="AC12" s="25">
        <v>2596.4499999999998</v>
      </c>
      <c r="AD12" s="25">
        <v>76.984999999999999</v>
      </c>
      <c r="AE12" s="25">
        <v>38.805</v>
      </c>
      <c r="AG12" s="20">
        <f t="shared" si="6"/>
        <v>7.6912275000000001</v>
      </c>
      <c r="AH12" s="21">
        <f t="shared" si="7"/>
        <v>3.7611999293493847E-2</v>
      </c>
      <c r="AI12" s="21">
        <f t="shared" si="8"/>
        <v>1.3927776919590436E-2</v>
      </c>
      <c r="AJ12" s="21">
        <f t="shared" si="9"/>
        <v>9.2938036727298664E-3</v>
      </c>
      <c r="AK12" s="21">
        <f t="shared" si="10"/>
        <v>2.368422237390341E-2</v>
      </c>
      <c r="AL12" s="18">
        <f t="shared" si="11"/>
        <v>3037944</v>
      </c>
      <c r="AM12" s="21">
        <v>16</v>
      </c>
      <c r="AN12" s="22">
        <v>23173049</v>
      </c>
      <c r="AO12" s="22">
        <v>724157.78125</v>
      </c>
      <c r="AP12" s="22">
        <v>33677.4375</v>
      </c>
      <c r="AQ12" s="23">
        <v>8203976</v>
      </c>
      <c r="AR12" s="23">
        <v>2027176</v>
      </c>
      <c r="AS12" s="23">
        <v>1010768</v>
      </c>
      <c r="AT12" s="23">
        <v>5166032</v>
      </c>
      <c r="AU12" s="24">
        <v>69.031731250000007</v>
      </c>
      <c r="AV12" s="24">
        <v>71.299581250000003</v>
      </c>
      <c r="AW12" s="24">
        <v>36.486515625000003</v>
      </c>
      <c r="AX12" s="24">
        <v>41.00455625</v>
      </c>
      <c r="AY12" s="24">
        <v>35.829156249999997</v>
      </c>
      <c r="AZ12" s="25">
        <v>4514.95</v>
      </c>
      <c r="BA12" s="25">
        <v>2895.36</v>
      </c>
      <c r="BB12" s="25">
        <v>51.567999999999998</v>
      </c>
      <c r="BC12" s="25">
        <v>25.608000000000001</v>
      </c>
      <c r="BE12" s="50">
        <f t="shared" si="12"/>
        <v>1.1037051461655167</v>
      </c>
      <c r="BF12" s="26">
        <f t="shared" si="13"/>
        <v>1.1379928175869636E-2</v>
      </c>
      <c r="BG12" s="26">
        <f t="shared" si="14"/>
        <v>9.2569768917494799E-3</v>
      </c>
      <c r="BH12" s="26"/>
      <c r="BJ12" s="50"/>
      <c r="BK12" s="50"/>
      <c r="BL12" s="50"/>
      <c r="BM12" s="50"/>
      <c r="BN12" s="50"/>
      <c r="BP12" s="50"/>
      <c r="BQ12" s="50"/>
      <c r="BR12" s="50"/>
      <c r="BS12" s="50"/>
      <c r="BT12" s="50"/>
    </row>
    <row r="13" spans="1:72" outlineLevel="1" x14ac:dyDescent="0.45">
      <c r="A13" s="54"/>
      <c r="B13" s="54" t="s">
        <v>57</v>
      </c>
      <c r="C13" s="10" t="s">
        <v>233</v>
      </c>
      <c r="D13" s="54">
        <v>218121242</v>
      </c>
      <c r="E13" s="10">
        <v>10</v>
      </c>
      <c r="F13" s="10">
        <v>32</v>
      </c>
      <c r="G13" s="10">
        <v>30</v>
      </c>
      <c r="I13" s="11">
        <f t="shared" si="0"/>
        <v>12.03003</v>
      </c>
      <c r="J13" s="12">
        <f t="shared" si="1"/>
        <v>5.8829813558461216E-2</v>
      </c>
      <c r="K13" s="12">
        <f t="shared" si="2"/>
        <v>1.730054333726928E-2</v>
      </c>
      <c r="L13" s="12">
        <f t="shared" si="3"/>
        <v>1.3395559154206539E-2</v>
      </c>
      <c r="M13" s="12">
        <f t="shared" si="4"/>
        <v>4.152927022119194E-2</v>
      </c>
      <c r="N13" s="54">
        <f t="shared" si="5"/>
        <v>3773616</v>
      </c>
      <c r="O13" s="12">
        <v>16</v>
      </c>
      <c r="P13" s="13">
        <v>23291739</v>
      </c>
      <c r="Q13" s="13">
        <v>727866.84375</v>
      </c>
      <c r="R13" s="13">
        <v>28062.03125</v>
      </c>
      <c r="S13" s="14">
        <v>12832032</v>
      </c>
      <c r="T13" s="14">
        <v>2921856</v>
      </c>
      <c r="U13" s="14">
        <v>851760</v>
      </c>
      <c r="V13" s="14">
        <v>9058416</v>
      </c>
      <c r="W13" s="15">
        <v>70.072275000000005</v>
      </c>
      <c r="X13" s="15">
        <v>72.590206249999994</v>
      </c>
      <c r="Y13" s="15">
        <v>38.665965624999998</v>
      </c>
      <c r="Z13" s="15">
        <v>42.107503125000001</v>
      </c>
      <c r="AA13" s="15">
        <v>37.689275000000002</v>
      </c>
      <c r="AB13" s="16">
        <v>3708.41</v>
      </c>
      <c r="AC13" s="16">
        <v>2645.38</v>
      </c>
      <c r="AD13" s="16">
        <v>75.165999999999997</v>
      </c>
      <c r="AE13" s="16">
        <v>35.700000000000003</v>
      </c>
      <c r="AG13" s="11">
        <f t="shared" si="6"/>
        <v>12.8680725</v>
      </c>
      <c r="AH13" s="12">
        <f t="shared" si="7"/>
        <v>6.2928048062370748E-2</v>
      </c>
      <c r="AI13" s="12">
        <f t="shared" si="8"/>
        <v>1.9033524483598897E-2</v>
      </c>
      <c r="AJ13" s="12">
        <f t="shared" si="9"/>
        <v>1.4399551236738327E-2</v>
      </c>
      <c r="AK13" s="12">
        <f t="shared" si="10"/>
        <v>4.3894523578771848E-2</v>
      </c>
      <c r="AL13" s="54">
        <f t="shared" si="11"/>
        <v>4151616</v>
      </c>
      <c r="AM13" s="12">
        <v>16</v>
      </c>
      <c r="AN13" s="13">
        <v>24115935</v>
      </c>
      <c r="AO13" s="13">
        <v>753622.96875</v>
      </c>
      <c r="AP13" s="13">
        <v>38357.9375</v>
      </c>
      <c r="AQ13" s="14">
        <v>13725944</v>
      </c>
      <c r="AR13" s="14">
        <v>3140848</v>
      </c>
      <c r="AS13" s="14">
        <v>1010768</v>
      </c>
      <c r="AT13" s="14">
        <v>9574328</v>
      </c>
      <c r="AU13" s="15">
        <v>70.016496875000001</v>
      </c>
      <c r="AV13" s="15">
        <v>72.542487499999993</v>
      </c>
      <c r="AW13" s="15">
        <v>38.827278124999999</v>
      </c>
      <c r="AX13" s="15">
        <v>42.195212499999997</v>
      </c>
      <c r="AY13" s="15">
        <v>37.943824999999997</v>
      </c>
      <c r="AZ13" s="16">
        <v>3124.86</v>
      </c>
      <c r="BA13" s="16">
        <v>1719.06</v>
      </c>
      <c r="BB13" s="16">
        <v>67.260999999999996</v>
      </c>
      <c r="BC13" s="16">
        <v>27.306999999999999</v>
      </c>
      <c r="BE13" s="51">
        <f t="shared" si="12"/>
        <v>1.1001691746060012</v>
      </c>
      <c r="BF13" s="17">
        <f t="shared" si="13"/>
        <v>1.2344249307372511E-2</v>
      </c>
      <c r="BG13" s="17">
        <f t="shared" si="14"/>
        <v>8.3870593920811753E-3</v>
      </c>
      <c r="BH13" s="17"/>
      <c r="BJ13" s="51"/>
      <c r="BK13" s="51"/>
      <c r="BL13" s="51"/>
      <c r="BM13" s="51"/>
      <c r="BN13" s="51"/>
      <c r="BP13" s="51"/>
      <c r="BQ13" s="51"/>
      <c r="BR13" s="51"/>
      <c r="BS13" s="51"/>
      <c r="BT13" s="51"/>
    </row>
    <row r="14" spans="1:72" outlineLevel="1" x14ac:dyDescent="0.45">
      <c r="A14" s="18"/>
      <c r="B14" s="37" t="s">
        <v>57</v>
      </c>
      <c r="C14" s="38" t="s">
        <v>234</v>
      </c>
      <c r="D14" s="37">
        <v>218121242</v>
      </c>
      <c r="E14" s="38">
        <v>10</v>
      </c>
      <c r="F14" s="38">
        <v>32</v>
      </c>
      <c r="G14" s="38">
        <v>30</v>
      </c>
      <c r="I14" s="39">
        <f t="shared" si="0"/>
        <v>21.587354999999999</v>
      </c>
      <c r="J14" s="40">
        <f t="shared" si="1"/>
        <v>0.10556748984585371</v>
      </c>
      <c r="K14" s="40">
        <f t="shared" si="2"/>
        <v>2.838032620408424E-2</v>
      </c>
      <c r="L14" s="40">
        <f t="shared" si="3"/>
        <v>2.1154363315059429E-2</v>
      </c>
      <c r="M14" s="40">
        <f t="shared" si="4"/>
        <v>7.7187163641769474E-2</v>
      </c>
      <c r="N14" s="37">
        <f t="shared" si="5"/>
        <v>6190352</v>
      </c>
      <c r="O14" s="40">
        <v>16</v>
      </c>
      <c r="P14" s="41">
        <v>22124056</v>
      </c>
      <c r="Q14" s="41">
        <v>691376.75</v>
      </c>
      <c r="R14" s="41">
        <v>13278.71875</v>
      </c>
      <c r="S14" s="42">
        <v>23026512</v>
      </c>
      <c r="T14" s="42">
        <v>4614216</v>
      </c>
      <c r="U14" s="42">
        <v>1576136</v>
      </c>
      <c r="V14" s="42">
        <v>16836160</v>
      </c>
      <c r="W14" s="43">
        <v>70.923046874999997</v>
      </c>
      <c r="X14" s="43">
        <v>74.675603124999995</v>
      </c>
      <c r="Y14" s="43">
        <v>40.962909375000002</v>
      </c>
      <c r="Z14" s="43">
        <v>43.423146875</v>
      </c>
      <c r="AA14" s="43">
        <v>39.504384375000001</v>
      </c>
      <c r="AB14" s="44">
        <v>3879.29</v>
      </c>
      <c r="AC14" s="44">
        <v>3161.9</v>
      </c>
      <c r="AD14" s="44">
        <v>61.24</v>
      </c>
      <c r="AE14" s="44">
        <v>33.700000000000003</v>
      </c>
      <c r="AG14" s="39">
        <f t="shared" si="6"/>
        <v>22.990394999999999</v>
      </c>
      <c r="AH14" s="40">
        <f t="shared" si="7"/>
        <v>0.112428701465032</v>
      </c>
      <c r="AI14" s="40">
        <f t="shared" si="8"/>
        <v>3.1982469639522774E-2</v>
      </c>
      <c r="AJ14" s="40">
        <f t="shared" si="9"/>
        <v>2.2898017424639459E-2</v>
      </c>
      <c r="AK14" s="40">
        <f t="shared" si="10"/>
        <v>8.0446231825509223E-2</v>
      </c>
      <c r="AL14" s="37">
        <f t="shared" si="11"/>
        <v>6976056</v>
      </c>
      <c r="AM14" s="40">
        <v>16</v>
      </c>
      <c r="AN14" s="41">
        <v>22622218</v>
      </c>
      <c r="AO14" s="41">
        <v>706944.3125</v>
      </c>
      <c r="AP14" s="41">
        <v>19084.53125</v>
      </c>
      <c r="AQ14" s="42">
        <v>24523088</v>
      </c>
      <c r="AR14" s="42">
        <v>4994544</v>
      </c>
      <c r="AS14" s="42">
        <v>1981512</v>
      </c>
      <c r="AT14" s="42">
        <v>17547032</v>
      </c>
      <c r="AU14" s="43">
        <v>71.119309375</v>
      </c>
      <c r="AV14" s="43">
        <v>74.610503124999994</v>
      </c>
      <c r="AW14" s="43">
        <v>41.105071875</v>
      </c>
      <c r="AX14" s="43">
        <v>43.521925000000003</v>
      </c>
      <c r="AY14" s="43">
        <v>39.843365624999997</v>
      </c>
      <c r="AZ14" s="44">
        <v>4709.75</v>
      </c>
      <c r="BA14" s="44">
        <v>3466.24</v>
      </c>
      <c r="BB14" s="44">
        <v>77.603999999999999</v>
      </c>
      <c r="BC14" s="44">
        <v>42.743000000000002</v>
      </c>
      <c r="BE14" s="45">
        <f t="shared" si="12"/>
        <v>1.1269239616745541</v>
      </c>
      <c r="BF14" s="46">
        <f t="shared" si="13"/>
        <v>7.7896076323795971E-3</v>
      </c>
      <c r="BG14" s="46">
        <f t="shared" si="14"/>
        <v>1.5633052172893624E-2</v>
      </c>
      <c r="BH14" s="46"/>
      <c r="BJ14" s="45"/>
      <c r="BK14" s="45"/>
      <c r="BL14" s="45"/>
      <c r="BM14" s="45"/>
      <c r="BN14" s="45"/>
      <c r="BP14" s="45"/>
      <c r="BQ14" s="45"/>
      <c r="BR14" s="45"/>
      <c r="BS14" s="45"/>
      <c r="BT14" s="45"/>
    </row>
    <row r="15" spans="1:72" x14ac:dyDescent="0.45">
      <c r="A15" s="54"/>
      <c r="B15" s="54" t="s">
        <v>62</v>
      </c>
      <c r="C15" s="10" t="s">
        <v>230</v>
      </c>
      <c r="D15" s="54">
        <v>322589704</v>
      </c>
      <c r="E15" s="10">
        <v>10</v>
      </c>
      <c r="F15" s="10">
        <v>32</v>
      </c>
      <c r="G15" s="10">
        <v>30</v>
      </c>
      <c r="I15" s="11">
        <f t="shared" si="0"/>
        <v>4.4272425000000002</v>
      </c>
      <c r="J15" s="12">
        <f t="shared" si="1"/>
        <v>1.4639004101631216E-2</v>
      </c>
      <c r="K15" s="12">
        <f t="shared" si="2"/>
        <v>8.3179096131350792E-3</v>
      </c>
      <c r="L15" s="12">
        <f t="shared" si="3"/>
        <v>4.3923534521734149E-3</v>
      </c>
      <c r="M15" s="12">
        <f t="shared" si="4"/>
        <v>6.3210944884961361E-3</v>
      </c>
      <c r="N15" s="54">
        <f t="shared" si="5"/>
        <v>2683272</v>
      </c>
      <c r="O15" s="12">
        <v>16</v>
      </c>
      <c r="P15" s="13">
        <v>31086837</v>
      </c>
      <c r="Q15" s="13">
        <v>971463.65625</v>
      </c>
      <c r="R15" s="13">
        <v>27944.21875</v>
      </c>
      <c r="S15" s="14">
        <v>4722392</v>
      </c>
      <c r="T15" s="14">
        <v>1416928</v>
      </c>
      <c r="U15" s="14">
        <v>1266344</v>
      </c>
      <c r="V15" s="14">
        <v>2039120</v>
      </c>
      <c r="W15" s="15">
        <v>65.923106250000004</v>
      </c>
      <c r="X15" s="15">
        <v>67.661793750000001</v>
      </c>
      <c r="Y15" s="15">
        <v>29.414640625000001</v>
      </c>
      <c r="Z15" s="15">
        <v>43.125696875000003</v>
      </c>
      <c r="AA15" s="15">
        <v>43.263359375</v>
      </c>
      <c r="AB15" s="16">
        <v>5323.24</v>
      </c>
      <c r="AC15" s="16">
        <v>1559.8</v>
      </c>
      <c r="AD15" s="16">
        <v>99.5</v>
      </c>
      <c r="AE15" s="16">
        <v>39.231000000000002</v>
      </c>
      <c r="AG15" s="11">
        <f t="shared" si="6"/>
        <v>4.9595700000000003</v>
      </c>
      <c r="AH15" s="12">
        <f t="shared" si="7"/>
        <v>1.6399184271547611E-2</v>
      </c>
      <c r="AI15" s="12">
        <f t="shared" si="8"/>
        <v>9.6086637656606667E-3</v>
      </c>
      <c r="AJ15" s="12">
        <f t="shared" si="9"/>
        <v>4.7600527262953189E-3</v>
      </c>
      <c r="AK15" s="12">
        <f t="shared" si="10"/>
        <v>6.7905205058869456E-3</v>
      </c>
      <c r="AL15" s="54">
        <f t="shared" si="11"/>
        <v>3099656</v>
      </c>
      <c r="AM15" s="12">
        <v>16</v>
      </c>
      <c r="AN15" s="13">
        <v>31687567</v>
      </c>
      <c r="AO15" s="13">
        <v>990236.46875</v>
      </c>
      <c r="AP15" s="13">
        <v>38977.1875</v>
      </c>
      <c r="AQ15" s="14">
        <v>5290208</v>
      </c>
      <c r="AR15" s="14">
        <v>1535544</v>
      </c>
      <c r="AS15" s="14">
        <v>1564112</v>
      </c>
      <c r="AT15" s="14">
        <v>2190552</v>
      </c>
      <c r="AU15" s="15">
        <v>66.098187499999995</v>
      </c>
      <c r="AV15" s="15">
        <v>67.704925000000003</v>
      </c>
      <c r="AW15" s="15">
        <v>29.538406250000001</v>
      </c>
      <c r="AX15" s="15">
        <v>43.125859374999997</v>
      </c>
      <c r="AY15" s="15">
        <v>43.365053125000003</v>
      </c>
      <c r="AZ15" s="16">
        <v>6004.13</v>
      </c>
      <c r="BA15" s="16">
        <v>2438.9899999999998</v>
      </c>
      <c r="BB15" s="16">
        <v>109.342</v>
      </c>
      <c r="BC15" s="16">
        <v>38.210999999999999</v>
      </c>
      <c r="BE15" s="51">
        <f t="shared" si="12"/>
        <v>1.1551777084097326</v>
      </c>
      <c r="BF15" s="17">
        <f t="shared" si="13"/>
        <v>1.0596426046781418E-2</v>
      </c>
      <c r="BG15" s="17">
        <f t="shared" si="14"/>
        <v>1.7721398252874443E-2</v>
      </c>
      <c r="BH15" s="17">
        <f t="array" ref="BH15">AVERAGE(AL15:AL19/AQ15:AQ19) - AVERAGE(N15:N19/S15:S19)</f>
        <v>1.5243098027652391E-2</v>
      </c>
      <c r="BJ15" s="51">
        <f>IF( OR(ISBLANK(N15:N19),ISBLANK(AL15:AL19), ISBLANK(W15:W19),ISBLANK(AU15:AU19)), "·", bdRateExtend( N15:N19,W15:W19, AL15:AL19,AU15:AU19))</f>
        <v>0.10975587609453563</v>
      </c>
      <c r="BK15" s="51">
        <f>IF( OR(ISBLANK(N15:N19),ISBLANK(AL15:AL19), ISBLANK(X15:X19),ISBLANK(AV15:AV19)), "·", bdRateExtend( N15:N19,X15:X19, AL15:AL19,AV15:AV19))</f>
        <v>0.13230411180437218</v>
      </c>
      <c r="BL15" s="51">
        <f>IF( OR(ISBLANK(V15:V19),ISBLANK(AT15:AT19), ISBLANK(Y15:Y19),ISBLANK(AW15:AW19)), "·", bdRateExtend( V15:V19,Y15:Y19, AT15:AT19,AW15:AW19))</f>
        <v>1.5827930744869434E-3</v>
      </c>
      <c r="BM15" s="51">
        <f>IF( OR(ISBLANK(V15:V19),ISBLANK(AT15:AT19), ISBLANK(Z15:Z19),ISBLANK(AX15:AX19)), "·", bdRateExtend( V15:V19,Z15:Z19, AT15:AT19,AX15:AX19))</f>
        <v>2.841652966782271E-2</v>
      </c>
      <c r="BN15" s="51">
        <f>IF( OR(ISBLANK(V15:V19),ISBLANK(AT15:AT19), ISBLANK(AA15:AA19),ISBLANK(AY15:AY19)), "·", bdRateExtend( V15:V19,AA15:AA19, AT15:AT19,AY15:AY19))</f>
        <v>6.5302345797584316E-3</v>
      </c>
      <c r="BP15" s="51">
        <f>IF( OR(ISBLANK(S15:S19),ISBLANK(AQ15:AQ19), ISBLANK(W15:W19),ISBLANK(AU15:AU19)), "·", bdRateExtend( S15:S19,W15:W19, AQ15:AQ19,AU15:AU19))</f>
        <v>5.0819853897895007E-2</v>
      </c>
      <c r="BQ15" s="51">
        <f>IF( OR(ISBLANK(S15:S19),ISBLANK(AQ15:AQ19), ISBLANK(X15:X19),ISBLANK(AV15:AV19)), "·", bdRateExtend( S15:S19,X15:X19, AQ15:AQ19,AV15:AV19))</f>
        <v>8.3688264050016503E-2</v>
      </c>
      <c r="BR15" s="51">
        <f>IF( OR(ISBLANK(S15:S19),ISBLANK(AQ15:AQ19), ISBLANK(Y15:Y19),ISBLANK(AW15:AW19)), "·", bdRateExtend( S15:S19,Y15:Y19, AQ15:AQ19,AW15:AW19))</f>
        <v>3.6041908567218117E-2</v>
      </c>
      <c r="BS15" s="51">
        <f>IF( OR(ISBLANK(S15:S19),ISBLANK(AQ15:AQ19), ISBLANK(Z15:Z19),ISBLANK(AX15:AX19)), "·", bdRateExtend( S15:S19,Z15:Z19, AQ15:AQ19,AX15:AX19))</f>
        <v>5.5592119186835154E-2</v>
      </c>
      <c r="BT15" s="51">
        <f>IF( OR(ISBLANK(S15:S19),ISBLANK(AQ15:AQ19), ISBLANK(AA15:AA19),ISBLANK(AY15:AY19)), "·", bdRateExtend( S15:S19,AA15:AA19, AQ15:AQ19,AY15:AY19))</f>
        <v>3.8863919344418463E-2</v>
      </c>
    </row>
    <row r="16" spans="1:72" outlineLevel="1" x14ac:dyDescent="0.45">
      <c r="A16" s="18"/>
      <c r="B16" s="18" t="s">
        <v>62</v>
      </c>
      <c r="C16" s="19" t="s">
        <v>231</v>
      </c>
      <c r="D16" s="18">
        <v>322589704</v>
      </c>
      <c r="E16" s="19">
        <v>10</v>
      </c>
      <c r="F16" s="19">
        <v>32</v>
      </c>
      <c r="G16" s="19">
        <v>30</v>
      </c>
      <c r="I16" s="20">
        <f t="shared" si="0"/>
        <v>7.0232849999999996</v>
      </c>
      <c r="J16" s="21">
        <f t="shared" si="1"/>
        <v>2.3223010242137177E-2</v>
      </c>
      <c r="K16" s="21">
        <f t="shared" si="2"/>
        <v>1.0123298913470592E-2</v>
      </c>
      <c r="L16" s="21">
        <f t="shared" si="3"/>
        <v>6.1977427525089267E-3</v>
      </c>
      <c r="M16" s="21">
        <f t="shared" si="4"/>
        <v>1.3099711328666584E-2</v>
      </c>
      <c r="N16" s="18">
        <f t="shared" si="5"/>
        <v>3265672</v>
      </c>
      <c r="O16" s="21">
        <v>16</v>
      </c>
      <c r="P16" s="22">
        <v>33185472</v>
      </c>
      <c r="Q16" s="22">
        <v>1037046</v>
      </c>
      <c r="R16" s="22">
        <v>34748.59375</v>
      </c>
      <c r="S16" s="23">
        <v>7491504</v>
      </c>
      <c r="T16" s="23">
        <v>1999328</v>
      </c>
      <c r="U16" s="23">
        <v>1266344</v>
      </c>
      <c r="V16" s="23">
        <v>4225832</v>
      </c>
      <c r="W16" s="24">
        <v>67.712850000000003</v>
      </c>
      <c r="X16" s="24">
        <v>69.741403125000005</v>
      </c>
      <c r="Y16" s="24">
        <v>31.808309375</v>
      </c>
      <c r="Z16" s="24">
        <v>43.976703125</v>
      </c>
      <c r="AA16" s="24">
        <v>44.262890624999997</v>
      </c>
      <c r="AB16" s="25">
        <v>6128.13</v>
      </c>
      <c r="AC16" s="25">
        <v>1916.85</v>
      </c>
      <c r="AD16" s="25">
        <v>107.68300000000001</v>
      </c>
      <c r="AE16" s="25">
        <v>37.671999999999997</v>
      </c>
      <c r="AG16" s="20">
        <f t="shared" si="6"/>
        <v>7.7211524999999996</v>
      </c>
      <c r="AH16" s="21">
        <f t="shared" si="7"/>
        <v>2.5530560640583868E-2</v>
      </c>
      <c r="AI16" s="21">
        <f t="shared" si="8"/>
        <v>1.1523368396159351E-2</v>
      </c>
      <c r="AJ16" s="21">
        <f t="shared" si="9"/>
        <v>6.674757356794004E-3</v>
      </c>
      <c r="AK16" s="21">
        <f t="shared" si="10"/>
        <v>1.4007192244424515E-2</v>
      </c>
      <c r="AL16" s="18">
        <f t="shared" si="11"/>
        <v>3717320</v>
      </c>
      <c r="AM16" s="21">
        <v>16</v>
      </c>
      <c r="AN16" s="22">
        <v>34140710</v>
      </c>
      <c r="AO16" s="22">
        <v>1066897.1875</v>
      </c>
      <c r="AP16" s="22">
        <v>49142.34375</v>
      </c>
      <c r="AQ16" s="23">
        <v>8235896</v>
      </c>
      <c r="AR16" s="23">
        <v>2153208</v>
      </c>
      <c r="AS16" s="23">
        <v>1564112</v>
      </c>
      <c r="AT16" s="23">
        <v>4518576</v>
      </c>
      <c r="AU16" s="24">
        <v>67.849681250000003</v>
      </c>
      <c r="AV16" s="24">
        <v>69.793800000000005</v>
      </c>
      <c r="AW16" s="24">
        <v>31.993478124999999</v>
      </c>
      <c r="AX16" s="24">
        <v>44.010753125000001</v>
      </c>
      <c r="AY16" s="24">
        <v>44.344606249999998</v>
      </c>
      <c r="AZ16" s="25">
        <v>5780.54</v>
      </c>
      <c r="BA16" s="25">
        <v>2626.08</v>
      </c>
      <c r="BB16" s="25">
        <v>110.43300000000001</v>
      </c>
      <c r="BC16" s="25">
        <v>36.232999999999997</v>
      </c>
      <c r="BE16" s="50">
        <f t="shared" si="12"/>
        <v>1.1383017032941458</v>
      </c>
      <c r="BF16" s="26">
        <f t="shared" si="13"/>
        <v>1.2553709927334407E-2</v>
      </c>
      <c r="BG16" s="26">
        <f t="shared" si="14"/>
        <v>1.5439129660542283E-2</v>
      </c>
      <c r="BH16" s="26"/>
      <c r="BJ16" s="50"/>
      <c r="BK16" s="50"/>
      <c r="BL16" s="50"/>
      <c r="BM16" s="50"/>
      <c r="BN16" s="50"/>
      <c r="BP16" s="50"/>
      <c r="BQ16" s="50"/>
      <c r="BR16" s="50"/>
      <c r="BS16" s="50"/>
      <c r="BT16" s="50"/>
    </row>
    <row r="17" spans="1:72" outlineLevel="1" x14ac:dyDescent="0.45">
      <c r="A17" s="54"/>
      <c r="B17" s="54" t="s">
        <v>62</v>
      </c>
      <c r="C17" s="10" t="s">
        <v>232</v>
      </c>
      <c r="D17" s="54">
        <v>322589704</v>
      </c>
      <c r="E17" s="10">
        <v>10</v>
      </c>
      <c r="F17" s="10">
        <v>32</v>
      </c>
      <c r="G17" s="10">
        <v>30</v>
      </c>
      <c r="I17" s="11">
        <f t="shared" si="0"/>
        <v>11.709877499999999</v>
      </c>
      <c r="J17" s="12">
        <f t="shared" si="1"/>
        <v>3.8719574261427761E-2</v>
      </c>
      <c r="K17" s="12">
        <f t="shared" si="2"/>
        <v>1.2882643024465529E-2</v>
      </c>
      <c r="L17" s="12">
        <f t="shared" si="3"/>
        <v>8.9570868635038652E-3</v>
      </c>
      <c r="M17" s="12">
        <f t="shared" si="4"/>
        <v>2.5836931236962232E-2</v>
      </c>
      <c r="N17" s="54">
        <f t="shared" si="5"/>
        <v>4155808</v>
      </c>
      <c r="O17" s="12">
        <v>16</v>
      </c>
      <c r="P17" s="13">
        <v>33604345</v>
      </c>
      <c r="Q17" s="13">
        <v>1050135.78125</v>
      </c>
      <c r="R17" s="13">
        <v>36572.96875</v>
      </c>
      <c r="S17" s="14">
        <v>12490536</v>
      </c>
      <c r="T17" s="14">
        <v>2889464</v>
      </c>
      <c r="U17" s="14">
        <v>1266344</v>
      </c>
      <c r="V17" s="14">
        <v>8334728</v>
      </c>
      <c r="W17" s="15">
        <v>69.134437500000004</v>
      </c>
      <c r="X17" s="15">
        <v>71.597096875000005</v>
      </c>
      <c r="Y17" s="15">
        <v>34.352062500000002</v>
      </c>
      <c r="Z17" s="15">
        <v>44.796078125000001</v>
      </c>
      <c r="AA17" s="15">
        <v>45.206768750000002</v>
      </c>
      <c r="AB17" s="16">
        <v>6051.7</v>
      </c>
      <c r="AC17" s="16">
        <v>1965.08</v>
      </c>
      <c r="AD17" s="16">
        <v>107.41200000000001</v>
      </c>
      <c r="AE17" s="16">
        <v>37.32</v>
      </c>
      <c r="AG17" s="11">
        <f t="shared" si="6"/>
        <v>12.628327499999999</v>
      </c>
      <c r="AH17" s="12">
        <f t="shared" si="7"/>
        <v>4.1756496977349282E-2</v>
      </c>
      <c r="AI17" s="12">
        <f t="shared" si="8"/>
        <v>1.4414396809143047E-2</v>
      </c>
      <c r="AJ17" s="12">
        <f t="shared" si="9"/>
        <v>9.5657857697776984E-3</v>
      </c>
      <c r="AK17" s="12">
        <f t="shared" si="10"/>
        <v>2.7342100168206235E-2</v>
      </c>
      <c r="AL17" s="54">
        <f t="shared" si="11"/>
        <v>4649936</v>
      </c>
      <c r="AM17" s="12">
        <v>16</v>
      </c>
      <c r="AN17" s="13">
        <v>34712255</v>
      </c>
      <c r="AO17" s="13">
        <v>1084757.96875</v>
      </c>
      <c r="AP17" s="13">
        <v>52310</v>
      </c>
      <c r="AQ17" s="14">
        <v>13470216</v>
      </c>
      <c r="AR17" s="14">
        <v>3085824</v>
      </c>
      <c r="AS17" s="14">
        <v>1564112</v>
      </c>
      <c r="AT17" s="14">
        <v>8820280</v>
      </c>
      <c r="AU17" s="15">
        <v>69.264734375000003</v>
      </c>
      <c r="AV17" s="15">
        <v>71.592768750000005</v>
      </c>
      <c r="AW17" s="15">
        <v>34.578762500000003</v>
      </c>
      <c r="AX17" s="15">
        <v>44.855671874999999</v>
      </c>
      <c r="AY17" s="15">
        <v>45.281550000000003</v>
      </c>
      <c r="AZ17" s="16">
        <v>4606.99</v>
      </c>
      <c r="BA17" s="16">
        <v>2218.86</v>
      </c>
      <c r="BB17" s="16">
        <v>93.471999999999994</v>
      </c>
      <c r="BC17" s="16">
        <v>31.317</v>
      </c>
      <c r="BE17" s="51">
        <f t="shared" si="12"/>
        <v>1.1189005844350846</v>
      </c>
      <c r="BF17" s="17">
        <f t="shared" si="13"/>
        <v>1.3395843473466292E-2</v>
      </c>
      <c r="BG17" s="17">
        <f t="shared" si="14"/>
        <v>1.2484748119131139E-2</v>
      </c>
      <c r="BH17" s="17"/>
      <c r="BJ17" s="51"/>
      <c r="BK17" s="51"/>
      <c r="BL17" s="51"/>
      <c r="BM17" s="51"/>
      <c r="BN17" s="51"/>
      <c r="BP17" s="51"/>
      <c r="BQ17" s="51"/>
      <c r="BR17" s="51"/>
      <c r="BS17" s="51"/>
      <c r="BT17" s="51"/>
    </row>
    <row r="18" spans="1:72" outlineLevel="1" x14ac:dyDescent="0.45">
      <c r="A18" s="18"/>
      <c r="B18" s="18" t="s">
        <v>62</v>
      </c>
      <c r="C18" s="19" t="s">
        <v>233</v>
      </c>
      <c r="D18" s="18">
        <v>322589704</v>
      </c>
      <c r="E18" s="19">
        <v>10</v>
      </c>
      <c r="F18" s="19">
        <v>32</v>
      </c>
      <c r="G18" s="19">
        <v>30</v>
      </c>
      <c r="I18" s="20">
        <f t="shared" si="0"/>
        <v>20.196885000000002</v>
      </c>
      <c r="J18" s="21">
        <f t="shared" si="1"/>
        <v>6.6782490987375098E-2</v>
      </c>
      <c r="K18" s="21">
        <f t="shared" si="2"/>
        <v>1.7385626169891647E-2</v>
      </c>
      <c r="L18" s="21">
        <f t="shared" si="3"/>
        <v>1.3460070008929981E-2</v>
      </c>
      <c r="M18" s="21">
        <f t="shared" si="4"/>
        <v>4.9396864817483448E-2</v>
      </c>
      <c r="N18" s="18">
        <f t="shared" si="5"/>
        <v>5608424</v>
      </c>
      <c r="O18" s="21">
        <v>16</v>
      </c>
      <c r="P18" s="22">
        <v>34799418</v>
      </c>
      <c r="Q18" s="22">
        <v>1087481.8125</v>
      </c>
      <c r="R18" s="22">
        <v>40860.15625</v>
      </c>
      <c r="S18" s="23">
        <v>21543344</v>
      </c>
      <c r="T18" s="23">
        <v>4342080</v>
      </c>
      <c r="U18" s="23">
        <v>1266344</v>
      </c>
      <c r="V18" s="23">
        <v>15934920</v>
      </c>
      <c r="W18" s="24">
        <v>70.372874999999993</v>
      </c>
      <c r="X18" s="24">
        <v>72.951281249999994</v>
      </c>
      <c r="Y18" s="24">
        <v>37.033181249999998</v>
      </c>
      <c r="Z18" s="24">
        <v>46.138034374999997</v>
      </c>
      <c r="AA18" s="24">
        <v>46.638800000000003</v>
      </c>
      <c r="AB18" s="25">
        <v>5388.16</v>
      </c>
      <c r="AC18" s="25">
        <v>2404.83</v>
      </c>
      <c r="AD18" s="25">
        <v>107.158</v>
      </c>
      <c r="AE18" s="25">
        <v>38.098999999999997</v>
      </c>
      <c r="AG18" s="20">
        <f t="shared" si="6"/>
        <v>21.553807500000001</v>
      </c>
      <c r="AH18" s="21">
        <f t="shared" si="7"/>
        <v>7.1269255388262481E-2</v>
      </c>
      <c r="AI18" s="21">
        <f t="shared" si="8"/>
        <v>1.9372843964046663E-2</v>
      </c>
      <c r="AJ18" s="21">
        <f t="shared" si="9"/>
        <v>1.4524232924681316E-2</v>
      </c>
      <c r="AK18" s="21">
        <f t="shared" si="10"/>
        <v>5.1896411424215819E-2</v>
      </c>
      <c r="AL18" s="18">
        <f t="shared" si="11"/>
        <v>6249480</v>
      </c>
      <c r="AM18" s="21">
        <v>16</v>
      </c>
      <c r="AN18" s="22">
        <v>36195491</v>
      </c>
      <c r="AO18" s="22">
        <v>1131109.09375</v>
      </c>
      <c r="AP18" s="22">
        <v>59285.0625</v>
      </c>
      <c r="AQ18" s="23">
        <v>22990728</v>
      </c>
      <c r="AR18" s="23">
        <v>4685368</v>
      </c>
      <c r="AS18" s="23">
        <v>1564112</v>
      </c>
      <c r="AT18" s="23">
        <v>16741248</v>
      </c>
      <c r="AU18" s="24">
        <v>70.32688125</v>
      </c>
      <c r="AV18" s="24">
        <v>72.932843750000004</v>
      </c>
      <c r="AW18" s="24">
        <v>37.289165625000003</v>
      </c>
      <c r="AX18" s="24">
        <v>46.194618749999997</v>
      </c>
      <c r="AY18" s="24">
        <v>46.755934375000002</v>
      </c>
      <c r="AZ18" s="25">
        <v>6394.5</v>
      </c>
      <c r="BA18" s="25">
        <v>2702.03</v>
      </c>
      <c r="BB18" s="25">
        <v>109.14</v>
      </c>
      <c r="BC18" s="25">
        <v>36.119999999999997</v>
      </c>
      <c r="BE18" s="50">
        <f t="shared" si="12"/>
        <v>1.1143023423336038</v>
      </c>
      <c r="BF18" s="26">
        <f t="shared" si="13"/>
        <v>1.484002771810071E-2</v>
      </c>
      <c r="BG18" s="26">
        <f t="shared" si="14"/>
        <v>1.1494002396752523E-2</v>
      </c>
      <c r="BH18" s="26"/>
      <c r="BJ18" s="50"/>
      <c r="BK18" s="50"/>
      <c r="BL18" s="50"/>
      <c r="BM18" s="50"/>
      <c r="BN18" s="50"/>
      <c r="BP18" s="50"/>
      <c r="BQ18" s="50"/>
      <c r="BR18" s="50"/>
      <c r="BS18" s="50"/>
      <c r="BT18" s="50"/>
    </row>
    <row r="19" spans="1:72" outlineLevel="1" x14ac:dyDescent="0.45">
      <c r="A19" s="54"/>
      <c r="B19" s="27" t="s">
        <v>62</v>
      </c>
      <c r="C19" s="28" t="s">
        <v>234</v>
      </c>
      <c r="D19" s="27">
        <v>322589704</v>
      </c>
      <c r="E19" s="28">
        <v>10</v>
      </c>
      <c r="F19" s="28">
        <v>32</v>
      </c>
      <c r="G19" s="28">
        <v>30</v>
      </c>
      <c r="I19" s="29">
        <f t="shared" si="0"/>
        <v>35.713687499999999</v>
      </c>
      <c r="J19" s="30">
        <f t="shared" si="1"/>
        <v>0.11808994375096361</v>
      </c>
      <c r="K19" s="30">
        <f t="shared" si="2"/>
        <v>2.7855396153623056E-2</v>
      </c>
      <c r="L19" s="30">
        <f t="shared" si="3"/>
        <v>2.0647974555319349E-2</v>
      </c>
      <c r="M19" s="30">
        <f t="shared" si="4"/>
        <v>9.023454759734055E-2</v>
      </c>
      <c r="N19" s="27">
        <f t="shared" si="5"/>
        <v>8985864</v>
      </c>
      <c r="O19" s="30">
        <v>16</v>
      </c>
      <c r="P19" s="31">
        <v>33039030</v>
      </c>
      <c r="Q19" s="31">
        <v>1032469.6875</v>
      </c>
      <c r="R19" s="31">
        <v>17754.53125</v>
      </c>
      <c r="S19" s="32">
        <v>38094600</v>
      </c>
      <c r="T19" s="32">
        <v>6660824</v>
      </c>
      <c r="U19" s="32">
        <v>2325040</v>
      </c>
      <c r="V19" s="32">
        <v>29108736</v>
      </c>
      <c r="W19" s="33">
        <v>71.149228124999993</v>
      </c>
      <c r="X19" s="33">
        <v>75.004365625000005</v>
      </c>
      <c r="Y19" s="33">
        <v>39.53954375</v>
      </c>
      <c r="Z19" s="33">
        <v>47.871559374999997</v>
      </c>
      <c r="AA19" s="33">
        <v>48.474975000000001</v>
      </c>
      <c r="AB19" s="34">
        <v>5659.22</v>
      </c>
      <c r="AC19" s="34">
        <v>2403.88</v>
      </c>
      <c r="AD19" s="34">
        <v>65.78</v>
      </c>
      <c r="AE19" s="34">
        <v>25.231999999999999</v>
      </c>
      <c r="AG19" s="29">
        <f t="shared" si="6"/>
        <v>37.946204999999999</v>
      </c>
      <c r="AH19" s="30">
        <f t="shared" si="7"/>
        <v>0.12547192764713905</v>
      </c>
      <c r="AI19" s="30">
        <f t="shared" si="8"/>
        <v>3.1990208838159326E-2</v>
      </c>
      <c r="AJ19" s="30">
        <f t="shared" si="9"/>
        <v>2.2444188113331726E-2</v>
      </c>
      <c r="AK19" s="30">
        <f t="shared" si="10"/>
        <v>9.3481718808979722E-2</v>
      </c>
      <c r="AL19" s="27">
        <f t="shared" si="11"/>
        <v>10319712</v>
      </c>
      <c r="AM19" s="30">
        <v>16</v>
      </c>
      <c r="AN19" s="31">
        <v>33908324</v>
      </c>
      <c r="AO19" s="31">
        <v>1059635.125</v>
      </c>
      <c r="AP19" s="31">
        <v>27567.875</v>
      </c>
      <c r="AQ19" s="32">
        <v>40475952</v>
      </c>
      <c r="AR19" s="32">
        <v>7240264</v>
      </c>
      <c r="AS19" s="32">
        <v>3079448</v>
      </c>
      <c r="AT19" s="32">
        <v>30156240</v>
      </c>
      <c r="AU19" s="33">
        <v>71.401700000000005</v>
      </c>
      <c r="AV19" s="33">
        <v>74.922090624999996</v>
      </c>
      <c r="AW19" s="33">
        <v>39.802799999999998</v>
      </c>
      <c r="AX19" s="33">
        <v>47.966406249999999</v>
      </c>
      <c r="AY19" s="33">
        <v>48.578590624999997</v>
      </c>
      <c r="AZ19" s="34">
        <v>6021.62</v>
      </c>
      <c r="BA19" s="34">
        <v>2258.66</v>
      </c>
      <c r="BB19" s="34">
        <v>106.059</v>
      </c>
      <c r="BC19" s="34">
        <v>43.433999999999997</v>
      </c>
      <c r="BE19" s="35">
        <f t="shared" si="12"/>
        <v>1.1484384807070305</v>
      </c>
      <c r="BF19" s="36">
        <f t="shared" si="13"/>
        <v>8.820207885116383E-3</v>
      </c>
      <c r="BG19" s="36">
        <f t="shared" si="14"/>
        <v>1.907621170896201E-2</v>
      </c>
      <c r="BH19" s="36"/>
      <c r="BJ19" s="35"/>
      <c r="BK19" s="35"/>
      <c r="BL19" s="35"/>
      <c r="BM19" s="35"/>
      <c r="BN19" s="35"/>
      <c r="BP19" s="35"/>
      <c r="BQ19" s="35"/>
      <c r="BR19" s="35"/>
      <c r="BS19" s="35"/>
      <c r="BT19" s="35"/>
    </row>
    <row r="20" spans="1:72" x14ac:dyDescent="0.45">
      <c r="A20" s="18"/>
      <c r="B20" s="18" t="s">
        <v>68</v>
      </c>
      <c r="C20" s="19" t="s">
        <v>230</v>
      </c>
      <c r="D20" s="18">
        <v>250602891</v>
      </c>
      <c r="E20" s="19">
        <v>10</v>
      </c>
      <c r="F20" s="19">
        <v>32</v>
      </c>
      <c r="G20" s="19">
        <v>50</v>
      </c>
      <c r="I20" s="20">
        <f t="shared" si="0"/>
        <v>5.1414875000000002</v>
      </c>
      <c r="J20" s="21">
        <f t="shared" si="1"/>
        <v>1.3130542855549101E-2</v>
      </c>
      <c r="K20" s="21">
        <f t="shared" si="2"/>
        <v>7.7059286598573197E-3</v>
      </c>
      <c r="L20" s="21">
        <f t="shared" si="3"/>
        <v>3.7835477324960308E-3</v>
      </c>
      <c r="M20" s="21">
        <f t="shared" si="4"/>
        <v>5.4246141956917808E-3</v>
      </c>
      <c r="N20" s="18">
        <f t="shared" si="5"/>
        <v>1931128</v>
      </c>
      <c r="O20" s="21">
        <v>16</v>
      </c>
      <c r="P20" s="22">
        <v>30274532</v>
      </c>
      <c r="Q20" s="22">
        <v>946079.125</v>
      </c>
      <c r="R20" s="22">
        <v>27842.25</v>
      </c>
      <c r="S20" s="23">
        <v>3290552</v>
      </c>
      <c r="T20" s="23">
        <v>948168</v>
      </c>
      <c r="U20" s="23">
        <v>982960</v>
      </c>
      <c r="V20" s="23">
        <v>1359424</v>
      </c>
      <c r="W20" s="24">
        <v>67.105800000000002</v>
      </c>
      <c r="X20" s="24">
        <v>68.817099999999996</v>
      </c>
      <c r="Y20" s="24">
        <v>30.700693749999999</v>
      </c>
      <c r="Z20" s="24">
        <v>39.522634375000003</v>
      </c>
      <c r="AA20" s="24">
        <v>38.268193750000002</v>
      </c>
      <c r="AB20" s="25">
        <v>4705.47</v>
      </c>
      <c r="AC20" s="25">
        <v>2510.3000000000002</v>
      </c>
      <c r="AD20" s="25">
        <v>59.488</v>
      </c>
      <c r="AE20" s="25">
        <v>23.904</v>
      </c>
      <c r="AG20" s="20">
        <f t="shared" si="6"/>
        <v>5.2394249999999998</v>
      </c>
      <c r="AH20" s="21">
        <f t="shared" si="7"/>
        <v>1.3380659682812678E-2</v>
      </c>
      <c r="AI20" s="21">
        <f t="shared" si="8"/>
        <v>7.8643945093195278E-3</v>
      </c>
      <c r="AJ20" s="21">
        <f t="shared" si="9"/>
        <v>3.8397641629760769E-3</v>
      </c>
      <c r="AK20" s="21">
        <f t="shared" si="10"/>
        <v>5.5162651734931498E-3</v>
      </c>
      <c r="AL20" s="18">
        <f t="shared" si="11"/>
        <v>1970840</v>
      </c>
      <c r="AM20" s="21">
        <v>16</v>
      </c>
      <c r="AN20" s="22">
        <v>30340684</v>
      </c>
      <c r="AO20" s="22">
        <v>948146.375</v>
      </c>
      <c r="AP20" s="22">
        <v>28988.15625</v>
      </c>
      <c r="AQ20" s="23">
        <v>3353232</v>
      </c>
      <c r="AR20" s="23">
        <v>962256</v>
      </c>
      <c r="AS20" s="23">
        <v>1008584</v>
      </c>
      <c r="AT20" s="23">
        <v>1382392</v>
      </c>
      <c r="AU20" s="24">
        <v>67.118556249999997</v>
      </c>
      <c r="AV20" s="24">
        <v>68.8142</v>
      </c>
      <c r="AW20" s="24">
        <v>30.714834374999999</v>
      </c>
      <c r="AX20" s="24">
        <v>39.536737500000001</v>
      </c>
      <c r="AY20" s="24">
        <v>38.285887500000001</v>
      </c>
      <c r="AZ20" s="25">
        <v>3579.59</v>
      </c>
      <c r="BA20" s="25">
        <v>1558.18</v>
      </c>
      <c r="BB20" s="25">
        <v>105.73</v>
      </c>
      <c r="BC20" s="25">
        <v>40.122</v>
      </c>
      <c r="BE20" s="50">
        <f t="shared" si="12"/>
        <v>1.0205641469648827</v>
      </c>
      <c r="BF20" s="26">
        <f t="shared" si="13"/>
        <v>1.1444108075701169E-3</v>
      </c>
      <c r="BG20" s="26">
        <f t="shared" si="14"/>
        <v>8.7287581289807736E-4</v>
      </c>
      <c r="BH20" s="26">
        <f t="array" ref="BH20">AVERAGE(AL20:AL24/AQ20:AQ24) - AVERAGE(N20:N24/S20:S24)</f>
        <v>2.3988668228841492E-4</v>
      </c>
      <c r="BJ20" s="50">
        <f>IF( OR(ISBLANK(N20:N24),ISBLANK(AL20:AL24), ISBLANK(W20:W24),ISBLANK(AU20:AU24)), "·", bdRateExtend( N20:N24,W20:W24, AL20:AL24,AU20:AU24))</f>
        <v>1.6242298864812765E-2</v>
      </c>
      <c r="BK20" s="50">
        <f>IF( OR(ISBLANK(N20:N24),ISBLANK(AL20:AL24), ISBLANK(X20:X24),ISBLANK(AV20:AV24)), "·", bdRateExtend( N20:N24,X20:X24, AL20:AL24,AV20:AV24))</f>
        <v>1.6561936899721408E-2</v>
      </c>
      <c r="BL20" s="50">
        <f>IF( OR(ISBLANK(V20:V24),ISBLANK(AT20:AT24), ISBLANK(Y20:Y24),ISBLANK(AW20:AW24)), "·", bdRateExtend( V20:V24,Y20:Y24, AT20:AT24,AW20:AW24))</f>
        <v>1.6842256861781646E-2</v>
      </c>
      <c r="BM20" s="50">
        <f>IF( OR(ISBLANK(V20:V24),ISBLANK(AT20:AT24), ISBLANK(Z20:Z24),ISBLANK(AX20:AX24)), "·", bdRateExtend( V20:V24,Z20:Z24, AT20:AT24,AX20:AX24))</f>
        <v>9.882080055239495E-3</v>
      </c>
      <c r="BN20" s="50">
        <f>IF( OR(ISBLANK(V20:V24),ISBLANK(AT20:AT24), ISBLANK(AA20:AA24),ISBLANK(AY20:AY24)), "·", bdRateExtend( V20:V24,AA20:AA24, AT20:AT24,AY20:AY24))</f>
        <v>9.657877814403637E-3</v>
      </c>
      <c r="BP20" s="50">
        <f>IF( OR(ISBLANK(S20:S24),ISBLANK(AQ20:AQ24), ISBLANK(W20:W24),ISBLANK(AU20:AU24)), "·", bdRateExtend( S20:S24,W20:W24, AQ20:AQ24,AU20:AU24))</f>
        <v>1.7657126150726121E-2</v>
      </c>
      <c r="BQ20" s="50">
        <f>IF( OR(ISBLANK(S20:S24),ISBLANK(AQ20:AQ24), ISBLANK(X20:X24),ISBLANK(AV20:AV24)), "·", bdRateExtend( S20:S24,X20:X24, AQ20:AQ24,AV20:AV24))</f>
        <v>1.7574415365950502E-2</v>
      </c>
      <c r="BR20" s="50">
        <f>IF( OR(ISBLANK(S20:S24),ISBLANK(AQ20:AQ24), ISBLANK(Y20:Y24),ISBLANK(AW20:AW24)), "·", bdRateExtend( S20:S24,Y20:Y24, AQ20:AQ24,AW20:AW24))</f>
        <v>1.7009634751709024E-2</v>
      </c>
      <c r="BS20" s="50">
        <f>IF( OR(ISBLANK(S20:S24),ISBLANK(AQ20:AQ24), ISBLANK(Z20:Z24),ISBLANK(AX20:AX24)), "·", bdRateExtend( S20:S24,Z20:Z24, AQ20:AQ24,AX20:AX24))</f>
        <v>1.120323734405182E-2</v>
      </c>
      <c r="BT20" s="50">
        <f>IF( OR(ISBLANK(S20:S24),ISBLANK(AQ20:AQ24), ISBLANK(AA20:AA24),ISBLANK(AY20:AY24)), "·", bdRateExtend( S20:S24,AA20:AA24, AQ20:AQ24,AY20:AY24))</f>
        <v>1.0459061197507946E-2</v>
      </c>
    </row>
    <row r="21" spans="1:72" outlineLevel="1" x14ac:dyDescent="0.45">
      <c r="A21" s="54"/>
      <c r="B21" s="54" t="s">
        <v>68</v>
      </c>
      <c r="C21" s="10" t="s">
        <v>231</v>
      </c>
      <c r="D21" s="54">
        <v>250602891</v>
      </c>
      <c r="E21" s="10">
        <v>10</v>
      </c>
      <c r="F21" s="10">
        <v>32</v>
      </c>
      <c r="G21" s="10">
        <v>50</v>
      </c>
      <c r="I21" s="11">
        <f t="shared" si="0"/>
        <v>7.6273375000000003</v>
      </c>
      <c r="J21" s="12">
        <f t="shared" si="1"/>
        <v>1.9479009122843678E-2</v>
      </c>
      <c r="K21" s="12">
        <f t="shared" si="2"/>
        <v>9.149295887412567E-3</v>
      </c>
      <c r="L21" s="12">
        <f t="shared" si="3"/>
        <v>5.226914960051279E-3</v>
      </c>
      <c r="M21" s="12">
        <f t="shared" si="4"/>
        <v>1.0329713235431111E-2</v>
      </c>
      <c r="N21" s="54">
        <f t="shared" si="5"/>
        <v>2292840</v>
      </c>
      <c r="O21" s="12">
        <v>16</v>
      </c>
      <c r="P21" s="13">
        <v>31505484</v>
      </c>
      <c r="Q21" s="13">
        <v>984546.375</v>
      </c>
      <c r="R21" s="13">
        <v>33029.375</v>
      </c>
      <c r="S21" s="14">
        <v>4881496</v>
      </c>
      <c r="T21" s="14">
        <v>1309880</v>
      </c>
      <c r="U21" s="14">
        <v>982960</v>
      </c>
      <c r="V21" s="14">
        <v>2588656</v>
      </c>
      <c r="W21" s="15">
        <v>68.686528124999995</v>
      </c>
      <c r="X21" s="15">
        <v>70.761815624999997</v>
      </c>
      <c r="Y21" s="15">
        <v>32.514737500000003</v>
      </c>
      <c r="Z21" s="15">
        <v>40.675965625000003</v>
      </c>
      <c r="AA21" s="15">
        <v>39.602231250000003</v>
      </c>
      <c r="AB21" s="16">
        <v>5588.69</v>
      </c>
      <c r="AC21" s="16">
        <v>2930.78</v>
      </c>
      <c r="AD21" s="16">
        <v>104.321</v>
      </c>
      <c r="AE21" s="16">
        <v>39.399000000000001</v>
      </c>
      <c r="AG21" s="11">
        <f t="shared" si="6"/>
        <v>7.7591124999999996</v>
      </c>
      <c r="AH21" s="12">
        <f t="shared" si="7"/>
        <v>1.9815541553349438E-2</v>
      </c>
      <c r="AI21" s="12">
        <f t="shared" si="8"/>
        <v>9.3245851660985028E-3</v>
      </c>
      <c r="AJ21" s="12">
        <f t="shared" si="9"/>
        <v>5.299954819755052E-3</v>
      </c>
      <c r="AK21" s="12">
        <f t="shared" si="10"/>
        <v>1.0490956387250935E-2</v>
      </c>
      <c r="AL21" s="54">
        <f t="shared" si="11"/>
        <v>2336768</v>
      </c>
      <c r="AM21" s="12">
        <v>16</v>
      </c>
      <c r="AN21" s="13">
        <v>31642450</v>
      </c>
      <c r="AO21" s="13">
        <v>988826.5625</v>
      </c>
      <c r="AP21" s="13">
        <v>34840.09375</v>
      </c>
      <c r="AQ21" s="14">
        <v>4965832</v>
      </c>
      <c r="AR21" s="14">
        <v>1328184</v>
      </c>
      <c r="AS21" s="14">
        <v>1008584</v>
      </c>
      <c r="AT21" s="14">
        <v>2629064</v>
      </c>
      <c r="AU21" s="15">
        <v>68.683137500000001</v>
      </c>
      <c r="AV21" s="15">
        <v>70.765496874999997</v>
      </c>
      <c r="AW21" s="15">
        <v>32.512050000000002</v>
      </c>
      <c r="AX21" s="15">
        <v>40.676724999999998</v>
      </c>
      <c r="AY21" s="15">
        <v>39.581215624999999</v>
      </c>
      <c r="AZ21" s="16">
        <v>4224.17</v>
      </c>
      <c r="BA21" s="16">
        <v>1677.87</v>
      </c>
      <c r="BB21" s="16">
        <v>104.94199999999999</v>
      </c>
      <c r="BC21" s="16">
        <v>38.32</v>
      </c>
      <c r="BE21" s="51">
        <f t="shared" si="12"/>
        <v>1.0191587725266482</v>
      </c>
      <c r="BF21" s="17">
        <f t="shared" si="13"/>
        <v>1.6859658660198507E-3</v>
      </c>
      <c r="BG21" s="17">
        <f t="shared" si="14"/>
        <v>8.690100355307484E-4</v>
      </c>
      <c r="BH21" s="17"/>
      <c r="BJ21" s="51"/>
      <c r="BK21" s="51"/>
      <c r="BL21" s="51"/>
      <c r="BM21" s="51"/>
      <c r="BN21" s="51"/>
      <c r="BP21" s="51"/>
      <c r="BQ21" s="51"/>
      <c r="BR21" s="51"/>
      <c r="BS21" s="51"/>
      <c r="BT21" s="51"/>
    </row>
    <row r="22" spans="1:72" outlineLevel="1" x14ac:dyDescent="0.45">
      <c r="A22" s="18"/>
      <c r="B22" s="18" t="s">
        <v>68</v>
      </c>
      <c r="C22" s="19" t="s">
        <v>232</v>
      </c>
      <c r="D22" s="18">
        <v>250602891</v>
      </c>
      <c r="E22" s="19">
        <v>10</v>
      </c>
      <c r="F22" s="19">
        <v>32</v>
      </c>
      <c r="G22" s="19">
        <v>50</v>
      </c>
      <c r="I22" s="20">
        <f t="shared" si="0"/>
        <v>12.386075</v>
      </c>
      <c r="J22" s="21">
        <f t="shared" si="1"/>
        <v>3.1632069240573928E-2</v>
      </c>
      <c r="K22" s="21">
        <f t="shared" si="2"/>
        <v>1.1394345805851058E-2</v>
      </c>
      <c r="L22" s="21">
        <f t="shared" si="3"/>
        <v>7.4719648784897699E-3</v>
      </c>
      <c r="M22" s="21">
        <f t="shared" si="4"/>
        <v>2.0237723434722864E-2</v>
      </c>
      <c r="N22" s="18">
        <f t="shared" si="5"/>
        <v>2855456</v>
      </c>
      <c r="O22" s="21">
        <v>16</v>
      </c>
      <c r="P22" s="22">
        <v>32735750</v>
      </c>
      <c r="Q22" s="22">
        <v>1022992.1875</v>
      </c>
      <c r="R22" s="22">
        <v>35066.4375</v>
      </c>
      <c r="S22" s="23">
        <v>7927088</v>
      </c>
      <c r="T22" s="23">
        <v>1872496</v>
      </c>
      <c r="U22" s="23">
        <v>982960</v>
      </c>
      <c r="V22" s="23">
        <v>5071632</v>
      </c>
      <c r="W22" s="24">
        <v>69.861821875000004</v>
      </c>
      <c r="X22" s="24">
        <v>72.258756250000005</v>
      </c>
      <c r="Y22" s="24">
        <v>34.267000000000003</v>
      </c>
      <c r="Z22" s="24">
        <v>41.728212499999998</v>
      </c>
      <c r="AA22" s="24">
        <v>40.647271875000001</v>
      </c>
      <c r="AB22" s="25">
        <v>6131.64</v>
      </c>
      <c r="AC22" s="25">
        <v>3199.32</v>
      </c>
      <c r="AD22" s="25">
        <v>105.718</v>
      </c>
      <c r="AE22" s="25">
        <v>40.012</v>
      </c>
      <c r="AG22" s="20">
        <f t="shared" si="6"/>
        <v>12.5967375</v>
      </c>
      <c r="AH22" s="21">
        <f t="shared" si="7"/>
        <v>3.217006782256155E-2</v>
      </c>
      <c r="AI22" s="21">
        <f t="shared" si="8"/>
        <v>1.1586171206620277E-2</v>
      </c>
      <c r="AJ22" s="21">
        <f t="shared" si="9"/>
        <v>7.5615408602768275E-3</v>
      </c>
      <c r="AK22" s="21">
        <f t="shared" si="10"/>
        <v>2.0583896615941275E-2</v>
      </c>
      <c r="AL22" s="18">
        <f t="shared" si="11"/>
        <v>2903528</v>
      </c>
      <c r="AM22" s="21">
        <v>16</v>
      </c>
      <c r="AN22" s="22">
        <v>32937551</v>
      </c>
      <c r="AO22" s="22">
        <v>1029298.46875</v>
      </c>
      <c r="AP22" s="22">
        <v>37045.96875</v>
      </c>
      <c r="AQ22" s="23">
        <v>8061912</v>
      </c>
      <c r="AR22" s="23">
        <v>1894944</v>
      </c>
      <c r="AS22" s="23">
        <v>1008584</v>
      </c>
      <c r="AT22" s="23">
        <v>5158384</v>
      </c>
      <c r="AU22" s="24">
        <v>69.867084375000005</v>
      </c>
      <c r="AV22" s="24">
        <v>72.272496875000002</v>
      </c>
      <c r="AW22" s="24">
        <v>34.256050000000002</v>
      </c>
      <c r="AX22" s="24">
        <v>41.735031249999999</v>
      </c>
      <c r="AY22" s="24">
        <v>40.672624999999996</v>
      </c>
      <c r="AZ22" s="25">
        <v>4602.28</v>
      </c>
      <c r="BA22" s="25">
        <v>1813.07</v>
      </c>
      <c r="BB22" s="25">
        <v>103.39400000000001</v>
      </c>
      <c r="BC22" s="25">
        <v>37.228000000000002</v>
      </c>
      <c r="BE22" s="50">
        <f t="shared" si="12"/>
        <v>1.0168351394663409</v>
      </c>
      <c r="BF22" s="26">
        <f t="shared" si="13"/>
        <v>1.7131693826868341E-3</v>
      </c>
      <c r="BG22" s="26">
        <f t="shared" si="14"/>
        <v>-6.1229531323148123E-5</v>
      </c>
      <c r="BH22" s="26"/>
      <c r="BJ22" s="50"/>
      <c r="BK22" s="50"/>
      <c r="BL22" s="50"/>
      <c r="BM22" s="50"/>
      <c r="BN22" s="50"/>
      <c r="BP22" s="50"/>
      <c r="BQ22" s="50"/>
      <c r="BR22" s="50"/>
      <c r="BS22" s="50"/>
      <c r="BT22" s="50"/>
    </row>
    <row r="23" spans="1:72" outlineLevel="1" x14ac:dyDescent="0.45">
      <c r="A23" s="54"/>
      <c r="B23" s="54" t="s">
        <v>68</v>
      </c>
      <c r="C23" s="10" t="s">
        <v>233</v>
      </c>
      <c r="D23" s="54">
        <v>250602891</v>
      </c>
      <c r="E23" s="10">
        <v>10</v>
      </c>
      <c r="F23" s="10">
        <v>32</v>
      </c>
      <c r="G23" s="10">
        <v>50</v>
      </c>
      <c r="I23" s="11">
        <f t="shared" si="0"/>
        <v>22.036375</v>
      </c>
      <c r="J23" s="12">
        <f t="shared" si="1"/>
        <v>5.6277403439850979E-2</v>
      </c>
      <c r="K23" s="12">
        <f t="shared" si="2"/>
        <v>1.532240902999E-2</v>
      </c>
      <c r="L23" s="12">
        <f t="shared" si="3"/>
        <v>1.1400028102628712E-2</v>
      </c>
      <c r="M23" s="12">
        <f t="shared" si="4"/>
        <v>4.095499440986098E-2</v>
      </c>
      <c r="N23" s="54">
        <f t="shared" si="5"/>
        <v>3839840</v>
      </c>
      <c r="O23" s="12">
        <v>16</v>
      </c>
      <c r="P23" s="13">
        <v>32798890</v>
      </c>
      <c r="Q23" s="13">
        <v>1024965.3125</v>
      </c>
      <c r="R23" s="13">
        <v>36962.65625</v>
      </c>
      <c r="S23" s="14">
        <v>14103280</v>
      </c>
      <c r="T23" s="14">
        <v>2856880</v>
      </c>
      <c r="U23" s="14">
        <v>982960</v>
      </c>
      <c r="V23" s="14">
        <v>10263440</v>
      </c>
      <c r="W23" s="15">
        <v>70.888134375000007</v>
      </c>
      <c r="X23" s="15">
        <v>73.610840624999994</v>
      </c>
      <c r="Y23" s="15">
        <v>35.678378125000002</v>
      </c>
      <c r="Z23" s="15">
        <v>42.882853124999997</v>
      </c>
      <c r="AA23" s="15">
        <v>41.708515624999997</v>
      </c>
      <c r="AB23" s="16">
        <v>5739.89</v>
      </c>
      <c r="AC23" s="16">
        <v>3705.82</v>
      </c>
      <c r="AD23" s="16">
        <v>103.27200000000001</v>
      </c>
      <c r="AE23" s="16">
        <v>40.122999999999998</v>
      </c>
      <c r="AG23" s="11">
        <f t="shared" si="6"/>
        <v>22.370075</v>
      </c>
      <c r="AH23" s="12">
        <f t="shared" si="7"/>
        <v>5.7129620264436617E-2</v>
      </c>
      <c r="AI23" s="12">
        <f t="shared" si="8"/>
        <v>1.5464115296259691E-2</v>
      </c>
      <c r="AJ23" s="12">
        <f t="shared" si="9"/>
        <v>1.1439484949916241E-2</v>
      </c>
      <c r="AK23" s="12">
        <f t="shared" si="10"/>
        <v>4.1665504968176927E-2</v>
      </c>
      <c r="AL23" s="54">
        <f t="shared" si="11"/>
        <v>3875352</v>
      </c>
      <c r="AM23" s="12">
        <v>16</v>
      </c>
      <c r="AN23" s="13">
        <v>32985258</v>
      </c>
      <c r="AO23" s="13">
        <v>1030789.3125</v>
      </c>
      <c r="AP23" s="13">
        <v>39212.6875</v>
      </c>
      <c r="AQ23" s="14">
        <v>14316848</v>
      </c>
      <c r="AR23" s="14">
        <v>2866768</v>
      </c>
      <c r="AS23" s="14">
        <v>1008584</v>
      </c>
      <c r="AT23" s="14">
        <v>10441496</v>
      </c>
      <c r="AU23" s="15">
        <v>70.863859375000004</v>
      </c>
      <c r="AV23" s="15">
        <v>73.588756250000003</v>
      </c>
      <c r="AW23" s="15">
        <v>35.678031249999997</v>
      </c>
      <c r="AX23" s="15">
        <v>42.908612499999997</v>
      </c>
      <c r="AY23" s="15">
        <v>41.735428124999999</v>
      </c>
      <c r="AZ23" s="16">
        <v>5984.73</v>
      </c>
      <c r="BA23" s="16">
        <v>3507.68</v>
      </c>
      <c r="BB23" s="16">
        <v>104.31100000000001</v>
      </c>
      <c r="BC23" s="16">
        <v>37.177999999999997</v>
      </c>
      <c r="BE23" s="51">
        <f t="shared" si="12"/>
        <v>1.009248302012584</v>
      </c>
      <c r="BF23" s="17">
        <f t="shared" si="13"/>
        <v>1.9790699300822404E-3</v>
      </c>
      <c r="BG23" s="17">
        <f t="shared" si="14"/>
        <v>-1.5810218897925332E-3</v>
      </c>
      <c r="BH23" s="17"/>
      <c r="BJ23" s="51"/>
      <c r="BK23" s="51"/>
      <c r="BL23" s="51"/>
      <c r="BM23" s="51"/>
      <c r="BN23" s="51"/>
      <c r="BP23" s="51"/>
      <c r="BQ23" s="51"/>
      <c r="BR23" s="51"/>
      <c r="BS23" s="51"/>
      <c r="BT23" s="51"/>
    </row>
    <row r="24" spans="1:72" outlineLevel="1" x14ac:dyDescent="0.45">
      <c r="A24" s="37"/>
      <c r="B24" s="37" t="s">
        <v>68</v>
      </c>
      <c r="C24" s="38" t="s">
        <v>234</v>
      </c>
      <c r="D24" s="37">
        <v>250602891</v>
      </c>
      <c r="E24" s="38">
        <v>10</v>
      </c>
      <c r="F24" s="38">
        <v>32</v>
      </c>
      <c r="G24" s="38">
        <v>50</v>
      </c>
      <c r="I24" s="39">
        <f t="shared" si="0"/>
        <v>38.637037499999998</v>
      </c>
      <c r="J24" s="40">
        <f t="shared" si="1"/>
        <v>9.8672860082847175E-2</v>
      </c>
      <c r="K24" s="40">
        <f t="shared" si="2"/>
        <v>2.5344895163240556E-2</v>
      </c>
      <c r="L24" s="40">
        <f t="shared" si="3"/>
        <v>1.7906609066213844E-2</v>
      </c>
      <c r="M24" s="40">
        <f t="shared" si="4"/>
        <v>7.3327964919606609E-2</v>
      </c>
      <c r="N24" s="37">
        <f t="shared" si="5"/>
        <v>6351504</v>
      </c>
      <c r="O24" s="40">
        <v>16</v>
      </c>
      <c r="P24" s="41">
        <v>31426902</v>
      </c>
      <c r="Q24" s="41">
        <v>982090.6875</v>
      </c>
      <c r="R24" s="41">
        <v>18270.09375</v>
      </c>
      <c r="S24" s="42">
        <v>24727704</v>
      </c>
      <c r="T24" s="42">
        <v>4487448</v>
      </c>
      <c r="U24" s="42">
        <v>1864056</v>
      </c>
      <c r="V24" s="42">
        <v>18376200</v>
      </c>
      <c r="W24" s="43">
        <v>71.730803124999994</v>
      </c>
      <c r="X24" s="43">
        <v>75.625753125000003</v>
      </c>
      <c r="Y24" s="43">
        <v>36.930334375000001</v>
      </c>
      <c r="Z24" s="43">
        <v>43.832703125000002</v>
      </c>
      <c r="AA24" s="43">
        <v>42.397631250000003</v>
      </c>
      <c r="AB24" s="44">
        <v>5157.57</v>
      </c>
      <c r="AC24" s="44">
        <v>3615.62</v>
      </c>
      <c r="AD24" s="44">
        <v>65.497</v>
      </c>
      <c r="AE24" s="44">
        <v>26.800999999999998</v>
      </c>
      <c r="AG24" s="39">
        <f t="shared" si="6"/>
        <v>39.186137500000001</v>
      </c>
      <c r="AH24" s="40">
        <f t="shared" si="7"/>
        <v>0.10007517431233465</v>
      </c>
      <c r="AI24" s="40">
        <f t="shared" si="8"/>
        <v>2.5815153106114805E-2</v>
      </c>
      <c r="AJ24" s="40">
        <f t="shared" si="9"/>
        <v>1.8068682216439393E-2</v>
      </c>
      <c r="AK24" s="40">
        <f t="shared" si="10"/>
        <v>7.4260021206219842E-2</v>
      </c>
      <c r="AL24" s="37">
        <f t="shared" si="11"/>
        <v>6469352</v>
      </c>
      <c r="AM24" s="40">
        <v>16</v>
      </c>
      <c r="AN24" s="41">
        <v>31526922</v>
      </c>
      <c r="AO24" s="41">
        <v>985216.3125</v>
      </c>
      <c r="AP24" s="41">
        <v>19614.71875</v>
      </c>
      <c r="AQ24" s="42">
        <v>25079128</v>
      </c>
      <c r="AR24" s="42">
        <v>4528064</v>
      </c>
      <c r="AS24" s="42">
        <v>1941288</v>
      </c>
      <c r="AT24" s="42">
        <v>18609776</v>
      </c>
      <c r="AU24" s="43">
        <v>71.780171874999994</v>
      </c>
      <c r="AV24" s="43">
        <v>75.637946874999997</v>
      </c>
      <c r="AW24" s="43">
        <v>36.945025000000001</v>
      </c>
      <c r="AX24" s="43">
        <v>43.834565625000003</v>
      </c>
      <c r="AY24" s="43">
        <v>42.422443749999999</v>
      </c>
      <c r="AZ24" s="44">
        <v>4554.16</v>
      </c>
      <c r="BA24" s="44">
        <v>2692.52</v>
      </c>
      <c r="BB24" s="44">
        <v>106.739</v>
      </c>
      <c r="BC24" s="44">
        <v>47.137</v>
      </c>
      <c r="BE24" s="45">
        <f t="shared" si="12"/>
        <v>1.0185543455534312</v>
      </c>
      <c r="BF24" s="46">
        <f t="shared" si="13"/>
        <v>1.3057824481011761E-3</v>
      </c>
      <c r="BG24" s="46">
        <f t="shared" si="14"/>
        <v>1.0997989841290967E-3</v>
      </c>
      <c r="BH24" s="46"/>
      <c r="BJ24" s="45"/>
      <c r="BK24" s="45"/>
      <c r="BL24" s="45"/>
      <c r="BM24" s="45"/>
      <c r="BN24" s="45"/>
      <c r="BP24" s="45"/>
      <c r="BQ24" s="45"/>
      <c r="BR24" s="45"/>
      <c r="BS24" s="45"/>
      <c r="BT24" s="45"/>
    </row>
    <row r="25" spans="1:72" x14ac:dyDescent="0.45">
      <c r="A25" s="54" t="s">
        <v>235</v>
      </c>
      <c r="B25" s="54" t="s">
        <v>71</v>
      </c>
      <c r="C25" s="10" t="s">
        <v>230</v>
      </c>
      <c r="D25" s="54">
        <v>250294582</v>
      </c>
      <c r="E25" s="10">
        <v>10</v>
      </c>
      <c r="F25" s="10">
        <v>32</v>
      </c>
      <c r="G25" s="10">
        <v>30</v>
      </c>
      <c r="I25" s="11">
        <f t="shared" si="0"/>
        <v>4.3893674999999996</v>
      </c>
      <c r="J25" s="12">
        <f t="shared" si="1"/>
        <v>1.8705926283294459E-2</v>
      </c>
      <c r="K25" s="12">
        <f t="shared" si="2"/>
        <v>6.5750684127872973E-3</v>
      </c>
      <c r="L25" s="12">
        <f t="shared" si="3"/>
        <v>3.7261054256460093E-3</v>
      </c>
      <c r="M25" s="12">
        <f t="shared" si="4"/>
        <v>1.2130857870507161E-2</v>
      </c>
      <c r="N25" s="54">
        <f t="shared" si="5"/>
        <v>1645704</v>
      </c>
      <c r="O25" s="12">
        <v>16</v>
      </c>
      <c r="P25" s="13">
        <v>23156910</v>
      </c>
      <c r="Q25" s="13">
        <v>723653.4375</v>
      </c>
      <c r="R25" s="13">
        <v>14060.625</v>
      </c>
      <c r="S25" s="14">
        <v>4681992</v>
      </c>
      <c r="T25" s="14">
        <v>932624</v>
      </c>
      <c r="U25" s="14">
        <v>713080</v>
      </c>
      <c r="V25" s="14">
        <v>3036288</v>
      </c>
      <c r="W25" s="15">
        <v>66.208681249999998</v>
      </c>
      <c r="X25" s="15">
        <v>67.982928125000001</v>
      </c>
      <c r="Y25" s="15">
        <v>27.335812499999999</v>
      </c>
      <c r="Z25" s="15">
        <v>33.167050000000003</v>
      </c>
      <c r="AA25" s="15">
        <v>32.594690624999998</v>
      </c>
      <c r="AB25" s="16">
        <v>1773.35</v>
      </c>
      <c r="AC25" s="16">
        <v>2038.43</v>
      </c>
      <c r="AD25" s="16">
        <v>45.420999999999999</v>
      </c>
      <c r="AE25" s="16">
        <v>22.582999999999998</v>
      </c>
      <c r="AG25" s="11">
        <f t="shared" si="6"/>
        <v>4.9972649999999996</v>
      </c>
      <c r="AH25" s="12">
        <f t="shared" si="7"/>
        <v>2.1296569655670772E-2</v>
      </c>
      <c r="AI25" s="12">
        <f t="shared" si="8"/>
        <v>7.9908401692850069E-3</v>
      </c>
      <c r="AJ25" s="12">
        <f t="shared" si="9"/>
        <v>4.1437253324165041E-3</v>
      </c>
      <c r="AK25" s="12">
        <f t="shared" si="10"/>
        <v>1.3305729486385766E-2</v>
      </c>
      <c r="AL25" s="54">
        <f t="shared" si="11"/>
        <v>2000064</v>
      </c>
      <c r="AM25" s="12">
        <v>16</v>
      </c>
      <c r="AN25" s="13">
        <v>23653939</v>
      </c>
      <c r="AO25" s="13">
        <v>739185.59375</v>
      </c>
      <c r="AP25" s="13">
        <v>24115.15625</v>
      </c>
      <c r="AQ25" s="14">
        <v>5330416</v>
      </c>
      <c r="AR25" s="14">
        <v>1037152</v>
      </c>
      <c r="AS25" s="14">
        <v>962912</v>
      </c>
      <c r="AT25" s="14">
        <v>3330352</v>
      </c>
      <c r="AU25" s="15">
        <v>66.331315625000002</v>
      </c>
      <c r="AV25" s="15">
        <v>67.948765624999993</v>
      </c>
      <c r="AW25" s="15">
        <v>27.460946875000001</v>
      </c>
      <c r="AX25" s="15">
        <v>33.267512500000002</v>
      </c>
      <c r="AY25" s="15">
        <v>32.700431250000001</v>
      </c>
      <c r="AZ25" s="16">
        <v>1944.63</v>
      </c>
      <c r="BA25" s="16">
        <v>2341.87</v>
      </c>
      <c r="BB25" s="16">
        <v>81.242999999999995</v>
      </c>
      <c r="BC25" s="16">
        <v>37.527999999999999</v>
      </c>
      <c r="BE25" s="51">
        <f t="shared" si="12"/>
        <v>1.2153242624433069</v>
      </c>
      <c r="BF25" s="17">
        <f t="shared" si="13"/>
        <v>1.3193899753572845E-2</v>
      </c>
      <c r="BG25" s="17">
        <f t="shared" si="14"/>
        <v>2.3720701335080308E-2</v>
      </c>
      <c r="BH25" s="17">
        <f t="array" ref="BH25">AVERAGE(AL25:AL29/AQ25:AQ29) - AVERAGE(N25:N29/S25:S29)</f>
        <v>1.7130998626559701E-2</v>
      </c>
      <c r="BJ25" s="51">
        <f>IF( OR(ISBLANK(N25:N29),ISBLANK(AL25:AL29), ISBLANK(W25:W29),ISBLANK(AU25:AU29)), "·", bdRateExtend( N25:N29,W25:W29, AL25:AL29,AU25:AU29))</f>
        <v>0.18565496504628487</v>
      </c>
      <c r="BK25" s="51">
        <f>IF( OR(ISBLANK(N25:N29),ISBLANK(AL25:AL29), ISBLANK(X25:X29),ISBLANK(AV25:AV29)), "·", bdRateExtend( N25:N29,X25:X29, AL25:AL29,AV25:AV29))</f>
        <v>0.21741808805889806</v>
      </c>
      <c r="BL25" s="51">
        <f>IF( OR(ISBLANK(V25:V29),ISBLANK(AT25:AT29), ISBLANK(Y25:Y29),ISBLANK(AW25:AW29)), "·", bdRateExtend( V25:V29,Y25:Y29, AT25:AT29,AW25:AW29))</f>
        <v>2.4555792961530765E-2</v>
      </c>
      <c r="BM25" s="51">
        <f>IF( OR(ISBLANK(V25:V29),ISBLANK(AT25:AT29), ISBLANK(Z25:Z29),ISBLANK(AX25:AX29)), "·", bdRateExtend( V25:V29,Z25:Z29, AT25:AT29,AX25:AX29))</f>
        <v>2.7205512945529531E-3</v>
      </c>
      <c r="BN25" s="51">
        <f>IF( OR(ISBLANK(V25:V29),ISBLANK(AT25:AT29), ISBLANK(AA25:AA29),ISBLANK(AY25:AY29)), "·", bdRateExtend( V25:V29,AA25:AA29, AT25:AT29,AY25:AY29))</f>
        <v>-7.5438778858034627E-3</v>
      </c>
      <c r="BP25" s="51">
        <f>IF( OR(ISBLANK(S25:S29),ISBLANK(AQ25:AQ29), ISBLANK(W25:W29),ISBLANK(AU25:AU29)), "·", bdRateExtend( S25:S29,W25:W29, AQ25:AQ29,AU25:AU29))</f>
        <v>9.4263752275978385E-2</v>
      </c>
      <c r="BQ25" s="51">
        <f>IF( OR(ISBLANK(S25:S29),ISBLANK(AQ25:AQ29), ISBLANK(X25:X29),ISBLANK(AV25:AV29)), "·", bdRateExtend( S25:S29,X25:X29, AQ25:AQ29,AV25:AV29))</f>
        <v>0.13689998341576892</v>
      </c>
      <c r="BR25" s="51">
        <f>IF( OR(ISBLANK(S25:S29),ISBLANK(AQ25:AQ29), ISBLANK(Y25:Y29),ISBLANK(AW25:AW29)), "·", bdRateExtend( S25:S29,Y25:Y29, AQ25:AQ29,AW25:AW29))</f>
        <v>5.1456626795534977E-2</v>
      </c>
      <c r="BS25" s="51">
        <f>IF( OR(ISBLANK(S25:S29),ISBLANK(AQ25:AQ29), ISBLANK(Z25:Z29),ISBLANK(AX25:AX29)), "·", bdRateExtend( S25:S29,Z25:Z29, AQ25:AQ29,AX25:AX29))</f>
        <v>2.9547060810648063E-2</v>
      </c>
      <c r="BT25" s="51">
        <f>IF( OR(ISBLANK(S25:S29),ISBLANK(AQ25:AQ29), ISBLANK(AA25:AA29),ISBLANK(AY25:AY29)), "·", bdRateExtend( S25:S29,AA25:AA29, AQ25:AQ29,AY25:AY29))</f>
        <v>2.0500044062699896E-2</v>
      </c>
    </row>
    <row r="26" spans="1:72" outlineLevel="1" x14ac:dyDescent="0.45">
      <c r="A26" s="18"/>
      <c r="B26" s="18" t="s">
        <v>71</v>
      </c>
      <c r="C26" s="19" t="s">
        <v>231</v>
      </c>
      <c r="D26" s="18">
        <v>250294582</v>
      </c>
      <c r="E26" s="19">
        <v>10</v>
      </c>
      <c r="F26" s="19">
        <v>32</v>
      </c>
      <c r="G26" s="19">
        <v>30</v>
      </c>
      <c r="I26" s="20">
        <f t="shared" si="0"/>
        <v>7.5169949999999996</v>
      </c>
      <c r="J26" s="21">
        <f t="shared" si="1"/>
        <v>3.2034764539969146E-2</v>
      </c>
      <c r="K26" s="21">
        <f t="shared" si="2"/>
        <v>8.1015577077093899E-3</v>
      </c>
      <c r="L26" s="21">
        <f t="shared" si="3"/>
        <v>5.2525947205681028E-3</v>
      </c>
      <c r="M26" s="21">
        <f t="shared" si="4"/>
        <v>2.3933206832259756E-2</v>
      </c>
      <c r="N26" s="18">
        <f t="shared" si="5"/>
        <v>2027776</v>
      </c>
      <c r="O26" s="21">
        <v>16</v>
      </c>
      <c r="P26" s="22">
        <v>24564301</v>
      </c>
      <c r="Q26" s="22">
        <v>767634.40625</v>
      </c>
      <c r="R26" s="22">
        <v>17714.59375</v>
      </c>
      <c r="S26" s="23">
        <v>8018128</v>
      </c>
      <c r="T26" s="23">
        <v>1314696</v>
      </c>
      <c r="U26" s="23">
        <v>713080</v>
      </c>
      <c r="V26" s="23">
        <v>5990352</v>
      </c>
      <c r="W26" s="24">
        <v>67.941556250000005</v>
      </c>
      <c r="X26" s="24">
        <v>69.941896874999998</v>
      </c>
      <c r="Y26" s="24">
        <v>29.713653125</v>
      </c>
      <c r="Z26" s="24">
        <v>34.339921875000002</v>
      </c>
      <c r="AA26" s="24">
        <v>33.891993749999997</v>
      </c>
      <c r="AB26" s="25">
        <v>1922.58</v>
      </c>
      <c r="AC26" s="25">
        <v>2338.39</v>
      </c>
      <c r="AD26" s="25">
        <v>78.897999999999996</v>
      </c>
      <c r="AE26" s="25">
        <v>34.768000000000001</v>
      </c>
      <c r="AG26" s="20">
        <f t="shared" si="6"/>
        <v>8.3819774999999996</v>
      </c>
      <c r="AH26" s="21">
        <f t="shared" si="7"/>
        <v>3.5721012930275894E-2</v>
      </c>
      <c r="AI26" s="21">
        <f t="shared" si="8"/>
        <v>9.6880722731744941E-3</v>
      </c>
      <c r="AJ26" s="21">
        <f t="shared" si="9"/>
        <v>5.8409574363059921E-3</v>
      </c>
      <c r="AK26" s="21">
        <f t="shared" si="10"/>
        <v>2.6032940657101399E-2</v>
      </c>
      <c r="AL26" s="18">
        <f t="shared" si="11"/>
        <v>2424872</v>
      </c>
      <c r="AM26" s="21">
        <v>16</v>
      </c>
      <c r="AN26" s="22">
        <v>25618940</v>
      </c>
      <c r="AO26" s="22">
        <v>800591.875</v>
      </c>
      <c r="AP26" s="22">
        <v>31047.125</v>
      </c>
      <c r="AQ26" s="23">
        <v>8940776</v>
      </c>
      <c r="AR26" s="23">
        <v>1461960</v>
      </c>
      <c r="AS26" s="23">
        <v>962912</v>
      </c>
      <c r="AT26" s="23">
        <v>6515904</v>
      </c>
      <c r="AU26" s="24">
        <v>67.989706249999998</v>
      </c>
      <c r="AV26" s="24">
        <v>69.890312499999993</v>
      </c>
      <c r="AW26" s="24">
        <v>29.883396874999999</v>
      </c>
      <c r="AX26" s="24">
        <v>34.470890625000003</v>
      </c>
      <c r="AY26" s="24">
        <v>34.037546874999997</v>
      </c>
      <c r="AZ26" s="25">
        <v>1275.93</v>
      </c>
      <c r="BA26" s="25">
        <v>1299.72</v>
      </c>
      <c r="BB26" s="25">
        <v>81.808999999999997</v>
      </c>
      <c r="BC26" s="25">
        <v>31.184999999999999</v>
      </c>
      <c r="BE26" s="50">
        <f t="shared" si="12"/>
        <v>1.1958283360686781</v>
      </c>
      <c r="BF26" s="26">
        <f t="shared" si="13"/>
        <v>1.5703352311347379E-2</v>
      </c>
      <c r="BG26" s="26">
        <f t="shared" si="14"/>
        <v>1.8316006025666409E-2</v>
      </c>
      <c r="BH26" s="26"/>
      <c r="BJ26" s="50"/>
      <c r="BK26" s="50"/>
      <c r="BL26" s="50"/>
      <c r="BM26" s="50"/>
      <c r="BN26" s="50"/>
      <c r="BP26" s="50"/>
      <c r="BQ26" s="50"/>
      <c r="BR26" s="50"/>
      <c r="BS26" s="50"/>
      <c r="BT26" s="50"/>
    </row>
    <row r="27" spans="1:72" outlineLevel="1" x14ac:dyDescent="0.45">
      <c r="A27" s="54"/>
      <c r="B27" s="54" t="s">
        <v>71</v>
      </c>
      <c r="C27" s="10" t="s">
        <v>232</v>
      </c>
      <c r="D27" s="54">
        <v>250294582</v>
      </c>
      <c r="E27" s="10">
        <v>10</v>
      </c>
      <c r="F27" s="10">
        <v>32</v>
      </c>
      <c r="G27" s="10">
        <v>30</v>
      </c>
      <c r="I27" s="11">
        <f t="shared" si="0"/>
        <v>13.216447499999999</v>
      </c>
      <c r="J27" s="12">
        <f t="shared" si="1"/>
        <v>5.6323808079872861E-2</v>
      </c>
      <c r="K27" s="12">
        <f t="shared" si="2"/>
        <v>1.0397987759878878E-2</v>
      </c>
      <c r="L27" s="12">
        <f t="shared" si="3"/>
        <v>7.5490247727375897E-3</v>
      </c>
      <c r="M27" s="12">
        <f t="shared" si="4"/>
        <v>4.5925820319993982E-2</v>
      </c>
      <c r="N27" s="54">
        <f t="shared" si="5"/>
        <v>2602560</v>
      </c>
      <c r="O27" s="12">
        <v>16</v>
      </c>
      <c r="P27" s="13">
        <v>24852477</v>
      </c>
      <c r="Q27" s="13">
        <v>776639.90625</v>
      </c>
      <c r="R27" s="13">
        <v>18688.75</v>
      </c>
      <c r="S27" s="14">
        <v>14097544</v>
      </c>
      <c r="T27" s="14">
        <v>1889480</v>
      </c>
      <c r="U27" s="14">
        <v>713080</v>
      </c>
      <c r="V27" s="14">
        <v>11494984</v>
      </c>
      <c r="W27" s="15">
        <v>69.263743750000003</v>
      </c>
      <c r="X27" s="15">
        <v>71.649234375000006</v>
      </c>
      <c r="Y27" s="15">
        <v>32.212887500000001</v>
      </c>
      <c r="Z27" s="15">
        <v>35.580181250000003</v>
      </c>
      <c r="AA27" s="15">
        <v>35.204984375000002</v>
      </c>
      <c r="AB27" s="16">
        <v>1819.07</v>
      </c>
      <c r="AC27" s="16">
        <v>2527.79</v>
      </c>
      <c r="AD27" s="16">
        <v>70.519000000000005</v>
      </c>
      <c r="AE27" s="16">
        <v>32.767000000000003</v>
      </c>
      <c r="AG27" s="11">
        <f t="shared" si="6"/>
        <v>14.463134999999999</v>
      </c>
      <c r="AH27" s="12">
        <f t="shared" si="7"/>
        <v>6.1636747694362795E-2</v>
      </c>
      <c r="AI27" s="12">
        <f t="shared" si="8"/>
        <v>1.2280569461147984E-2</v>
      </c>
      <c r="AJ27" s="12">
        <f t="shared" si="9"/>
        <v>8.4334546242794822E-3</v>
      </c>
      <c r="AK27" s="12">
        <f t="shared" si="10"/>
        <v>4.9356178233214809E-2</v>
      </c>
      <c r="AL27" s="54">
        <f t="shared" si="11"/>
        <v>3073760</v>
      </c>
      <c r="AM27" s="12">
        <v>16</v>
      </c>
      <c r="AN27" s="13">
        <v>25915344</v>
      </c>
      <c r="AO27" s="13">
        <v>809854.5</v>
      </c>
      <c r="AP27" s="13">
        <v>33238.09375</v>
      </c>
      <c r="AQ27" s="14">
        <v>15427344</v>
      </c>
      <c r="AR27" s="14">
        <v>2110848</v>
      </c>
      <c r="AS27" s="14">
        <v>962912</v>
      </c>
      <c r="AT27" s="14">
        <v>12353584</v>
      </c>
      <c r="AU27" s="15">
        <v>69.314471874999995</v>
      </c>
      <c r="AV27" s="15">
        <v>71.567762500000001</v>
      </c>
      <c r="AW27" s="15">
        <v>32.406643750000001</v>
      </c>
      <c r="AX27" s="15">
        <v>35.741225</v>
      </c>
      <c r="AY27" s="15">
        <v>35.388753125000001</v>
      </c>
      <c r="AZ27" s="16">
        <v>1798.26</v>
      </c>
      <c r="BA27" s="16">
        <v>1710.13</v>
      </c>
      <c r="BB27" s="16">
        <v>88.003</v>
      </c>
      <c r="BC27" s="16">
        <v>40.887999999999998</v>
      </c>
      <c r="BE27" s="51">
        <f t="shared" si="12"/>
        <v>1.1810525021517275</v>
      </c>
      <c r="BF27" s="17">
        <f t="shared" si="13"/>
        <v>1.6978458648344869E-2</v>
      </c>
      <c r="BG27" s="17">
        <f t="shared" si="14"/>
        <v>1.4630156177434572E-2</v>
      </c>
      <c r="BH27" s="17"/>
      <c r="BJ27" s="51"/>
      <c r="BK27" s="51"/>
      <c r="BL27" s="51"/>
      <c r="BM27" s="51"/>
      <c r="BN27" s="51"/>
      <c r="BP27" s="51"/>
      <c r="BQ27" s="51"/>
      <c r="BR27" s="51"/>
      <c r="BS27" s="51"/>
      <c r="BT27" s="51"/>
    </row>
    <row r="28" spans="1:72" outlineLevel="1" x14ac:dyDescent="0.45">
      <c r="A28" s="18"/>
      <c r="B28" s="18" t="s">
        <v>71</v>
      </c>
      <c r="C28" s="19" t="s">
        <v>233</v>
      </c>
      <c r="D28" s="18">
        <v>250294582</v>
      </c>
      <c r="E28" s="19">
        <v>10</v>
      </c>
      <c r="F28" s="19">
        <v>32</v>
      </c>
      <c r="G28" s="19">
        <v>30</v>
      </c>
      <c r="I28" s="20">
        <f t="shared" si="0"/>
        <v>24.485197500000002</v>
      </c>
      <c r="J28" s="21">
        <f t="shared" si="1"/>
        <v>0.10434722074807037</v>
      </c>
      <c r="K28" s="21">
        <f t="shared" si="2"/>
        <v>1.4255106808504548E-2</v>
      </c>
      <c r="L28" s="21">
        <f t="shared" si="3"/>
        <v>1.1406143821363261E-2</v>
      </c>
      <c r="M28" s="21">
        <f t="shared" si="4"/>
        <v>9.0092113939565815E-2</v>
      </c>
      <c r="N28" s="18">
        <f t="shared" si="5"/>
        <v>3567976</v>
      </c>
      <c r="O28" s="21">
        <v>16</v>
      </c>
      <c r="P28" s="22">
        <v>25521142</v>
      </c>
      <c r="Q28" s="22">
        <v>797535.6875</v>
      </c>
      <c r="R28" s="22">
        <v>20922.53125</v>
      </c>
      <c r="S28" s="23">
        <v>26117544</v>
      </c>
      <c r="T28" s="23">
        <v>2854896</v>
      </c>
      <c r="U28" s="23">
        <v>713080</v>
      </c>
      <c r="V28" s="23">
        <v>22549568</v>
      </c>
      <c r="W28" s="24">
        <v>70.432471875000005</v>
      </c>
      <c r="X28" s="24">
        <v>72.970200000000006</v>
      </c>
      <c r="Y28" s="24">
        <v>34.910971875000001</v>
      </c>
      <c r="Z28" s="24">
        <v>37.373078124999999</v>
      </c>
      <c r="AA28" s="24">
        <v>36.936612500000003</v>
      </c>
      <c r="AB28" s="25">
        <v>2034.24</v>
      </c>
      <c r="AC28" s="25">
        <v>3123.08</v>
      </c>
      <c r="AD28" s="25">
        <v>56.253999999999998</v>
      </c>
      <c r="AE28" s="25">
        <v>27.501000000000001</v>
      </c>
      <c r="AG28" s="20">
        <f t="shared" si="6"/>
        <v>26.4872625</v>
      </c>
      <c r="AH28" s="21">
        <f t="shared" si="7"/>
        <v>0.11287931114705471</v>
      </c>
      <c r="AI28" s="21">
        <f t="shared" si="8"/>
        <v>1.6787259102556202E-2</v>
      </c>
      <c r="AJ28" s="21">
        <f t="shared" si="9"/>
        <v>1.29401442656877E-2</v>
      </c>
      <c r="AK28" s="21">
        <f t="shared" si="10"/>
        <v>9.6092052044498513E-2</v>
      </c>
      <c r="AL28" s="18">
        <f t="shared" si="11"/>
        <v>4201760</v>
      </c>
      <c r="AM28" s="21">
        <v>16</v>
      </c>
      <c r="AN28" s="22">
        <v>26976368</v>
      </c>
      <c r="AO28" s="22">
        <v>843011.5</v>
      </c>
      <c r="AP28" s="22">
        <v>38192.46875</v>
      </c>
      <c r="AQ28" s="23">
        <v>28253080</v>
      </c>
      <c r="AR28" s="23">
        <v>3238848</v>
      </c>
      <c r="AS28" s="23">
        <v>962912</v>
      </c>
      <c r="AT28" s="23">
        <v>24051320</v>
      </c>
      <c r="AU28" s="24">
        <v>70.312862499999994</v>
      </c>
      <c r="AV28" s="24">
        <v>72.824124999999995</v>
      </c>
      <c r="AW28" s="24">
        <v>35.135962499999998</v>
      </c>
      <c r="AX28" s="24">
        <v>37.569909375000002</v>
      </c>
      <c r="AY28" s="24">
        <v>37.177750000000003</v>
      </c>
      <c r="AZ28" s="25">
        <v>2115.92</v>
      </c>
      <c r="BA28" s="25">
        <v>3077.16</v>
      </c>
      <c r="BB28" s="25">
        <v>90.869</v>
      </c>
      <c r="BC28" s="25">
        <v>42.591999999999999</v>
      </c>
      <c r="BE28" s="50">
        <f t="shared" si="12"/>
        <v>1.1776312396720157</v>
      </c>
      <c r="BF28" s="26">
        <f t="shared" si="13"/>
        <v>1.9070826642231566E-2</v>
      </c>
      <c r="BG28" s="26">
        <f t="shared" si="14"/>
        <v>1.2106420217000341E-2</v>
      </c>
      <c r="BH28" s="26"/>
      <c r="BJ28" s="50"/>
      <c r="BK28" s="50"/>
      <c r="BL28" s="50"/>
      <c r="BM28" s="50"/>
      <c r="BN28" s="50"/>
      <c r="BP28" s="50"/>
      <c r="BQ28" s="50"/>
      <c r="BR28" s="50"/>
      <c r="BS28" s="50"/>
      <c r="BT28" s="50"/>
    </row>
    <row r="29" spans="1:72" outlineLevel="1" x14ac:dyDescent="0.45">
      <c r="A29" s="27"/>
      <c r="B29" s="27" t="s">
        <v>71</v>
      </c>
      <c r="C29" s="28" t="s">
        <v>234</v>
      </c>
      <c r="D29" s="27">
        <v>250294582</v>
      </c>
      <c r="E29" s="28">
        <v>10</v>
      </c>
      <c r="F29" s="28">
        <v>32</v>
      </c>
      <c r="G29" s="28">
        <v>30</v>
      </c>
      <c r="I29" s="29">
        <f t="shared" si="0"/>
        <v>44.199554999999997</v>
      </c>
      <c r="J29" s="30">
        <f t="shared" si="1"/>
        <v>0.18836281482113743</v>
      </c>
      <c r="K29" s="30">
        <f t="shared" si="2"/>
        <v>2.2993258399816262E-2</v>
      </c>
      <c r="L29" s="30">
        <f t="shared" si="3"/>
        <v>1.7641772205840237E-2</v>
      </c>
      <c r="M29" s="30">
        <f t="shared" si="4"/>
        <v>0.16536955642132117</v>
      </c>
      <c r="N29" s="27">
        <f t="shared" si="5"/>
        <v>5755088</v>
      </c>
      <c r="O29" s="30">
        <v>16</v>
      </c>
      <c r="P29" s="31">
        <v>24571358</v>
      </c>
      <c r="Q29" s="31">
        <v>767854.9375</v>
      </c>
      <c r="R29" s="31">
        <v>9744.125</v>
      </c>
      <c r="S29" s="32">
        <v>47146192</v>
      </c>
      <c r="T29" s="32">
        <v>4415640</v>
      </c>
      <c r="U29" s="32">
        <v>1339448</v>
      </c>
      <c r="V29" s="32">
        <v>41391104</v>
      </c>
      <c r="W29" s="33">
        <v>71.152737500000001</v>
      </c>
      <c r="X29" s="33">
        <v>74.9055125</v>
      </c>
      <c r="Y29" s="33">
        <v>37.369268750000003</v>
      </c>
      <c r="Z29" s="33">
        <v>39.408925000000004</v>
      </c>
      <c r="AA29" s="33">
        <v>38.766100000000002</v>
      </c>
      <c r="AB29" s="34">
        <v>1877.98</v>
      </c>
      <c r="AC29" s="34">
        <v>3257.7</v>
      </c>
      <c r="AD29" s="34">
        <v>61.280999999999999</v>
      </c>
      <c r="AE29" s="34">
        <v>37.616</v>
      </c>
      <c r="AG29" s="29">
        <f t="shared" si="6"/>
        <v>47.447422500000002</v>
      </c>
      <c r="AH29" s="30">
        <f t="shared" si="7"/>
        <v>0.2022040732787416</v>
      </c>
      <c r="AI29" s="30">
        <f t="shared" si="8"/>
        <v>2.8096397228446601E-2</v>
      </c>
      <c r="AJ29" s="30">
        <f t="shared" si="9"/>
        <v>2.0083886594077373E-2</v>
      </c>
      <c r="AK29" s="30">
        <f t="shared" si="10"/>
        <v>0.17410767605029501</v>
      </c>
      <c r="AL29" s="27">
        <f t="shared" si="11"/>
        <v>7032376</v>
      </c>
      <c r="AM29" s="30">
        <v>16</v>
      </c>
      <c r="AN29" s="31">
        <v>25421281</v>
      </c>
      <c r="AO29" s="31">
        <v>794415.03125</v>
      </c>
      <c r="AP29" s="31">
        <v>18973.625</v>
      </c>
      <c r="AQ29" s="32">
        <v>50610584</v>
      </c>
      <c r="AR29" s="32">
        <v>5026888</v>
      </c>
      <c r="AS29" s="32">
        <v>2005488</v>
      </c>
      <c r="AT29" s="32">
        <v>43578208</v>
      </c>
      <c r="AU29" s="33">
        <v>71.462331250000005</v>
      </c>
      <c r="AV29" s="33">
        <v>74.727500000000006</v>
      </c>
      <c r="AW29" s="33">
        <v>37.58341875</v>
      </c>
      <c r="AX29" s="33">
        <v>39.697087500000002</v>
      </c>
      <c r="AY29" s="33">
        <v>39.096293750000001</v>
      </c>
      <c r="AZ29" s="34">
        <v>2050.35</v>
      </c>
      <c r="BA29" s="34">
        <v>2739.26</v>
      </c>
      <c r="BB29" s="34">
        <v>88.861000000000004</v>
      </c>
      <c r="BC29" s="34">
        <v>47.454999999999998</v>
      </c>
      <c r="BE29" s="35">
        <f t="shared" si="12"/>
        <v>1.2219406549474134</v>
      </c>
      <c r="BF29" s="36">
        <f t="shared" si="13"/>
        <v>1.1193709175677578E-2</v>
      </c>
      <c r="BG29" s="36">
        <f t="shared" si="14"/>
        <v>1.6881709377617085E-2</v>
      </c>
      <c r="BH29" s="36"/>
      <c r="BJ29" s="35"/>
      <c r="BK29" s="35"/>
      <c r="BL29" s="35"/>
      <c r="BM29" s="35"/>
      <c r="BN29" s="35"/>
      <c r="BP29" s="35"/>
      <c r="BQ29" s="35"/>
      <c r="BR29" s="35"/>
      <c r="BS29" s="35"/>
      <c r="BT29" s="35"/>
    </row>
    <row r="30" spans="1:72" x14ac:dyDescent="0.45">
      <c r="A30" s="18" t="s">
        <v>236</v>
      </c>
      <c r="B30" s="18" t="s">
        <v>75</v>
      </c>
      <c r="C30" s="19" t="s">
        <v>230</v>
      </c>
      <c r="D30" s="18">
        <v>375422539</v>
      </c>
      <c r="E30" s="19">
        <v>11</v>
      </c>
      <c r="F30" s="19">
        <v>32</v>
      </c>
      <c r="G30" s="19">
        <v>30</v>
      </c>
      <c r="I30" s="20">
        <f t="shared" si="0"/>
        <v>5.7329774999999996</v>
      </c>
      <c r="J30" s="21">
        <f t="shared" si="1"/>
        <v>1.6288782277933504E-2</v>
      </c>
      <c r="K30" s="21">
        <f t="shared" si="2"/>
        <v>9.9774936528251434E-3</v>
      </c>
      <c r="L30" s="21">
        <f t="shared" si="3"/>
        <v>6.1752286002199775E-3</v>
      </c>
      <c r="M30" s="21">
        <f t="shared" si="4"/>
        <v>6.3112886251083609E-3</v>
      </c>
      <c r="N30" s="18">
        <f t="shared" si="5"/>
        <v>3745776</v>
      </c>
      <c r="O30" s="21">
        <v>16</v>
      </c>
      <c r="P30" s="22">
        <v>84258322</v>
      </c>
      <c r="Q30" s="22">
        <v>2633072.5625</v>
      </c>
      <c r="R30" s="22">
        <v>32425.28125</v>
      </c>
      <c r="S30" s="23">
        <v>6115176</v>
      </c>
      <c r="T30" s="23">
        <v>2318320</v>
      </c>
      <c r="U30" s="23">
        <v>1427456</v>
      </c>
      <c r="V30" s="23">
        <v>2369400</v>
      </c>
      <c r="W30" s="24">
        <v>73.460731249999995</v>
      </c>
      <c r="X30" s="24">
        <v>75.713606249999998</v>
      </c>
      <c r="Y30" s="24">
        <v>34.745109374999998</v>
      </c>
      <c r="Z30" s="24">
        <v>42.167359374999997</v>
      </c>
      <c r="AA30" s="24">
        <v>43.793906249999999</v>
      </c>
      <c r="AB30" s="25">
        <v>4591.45</v>
      </c>
      <c r="AC30" s="25">
        <v>7783.07</v>
      </c>
      <c r="AD30" s="25">
        <v>278.63400000000001</v>
      </c>
      <c r="AE30" s="25">
        <v>108.386</v>
      </c>
      <c r="AG30" s="20">
        <f t="shared" si="6"/>
        <v>6.219525</v>
      </c>
      <c r="AH30" s="21">
        <f t="shared" si="7"/>
        <v>1.7671181963851135E-2</v>
      </c>
      <c r="AI30" s="21">
        <f t="shared" si="8"/>
        <v>1.0938203153540549E-2</v>
      </c>
      <c r="AJ30" s="21">
        <f t="shared" si="9"/>
        <v>6.5042445413752851E-3</v>
      </c>
      <c r="AK30" s="21">
        <f t="shared" si="10"/>
        <v>6.7329788103105874E-3</v>
      </c>
      <c r="AL30" s="18">
        <f t="shared" si="11"/>
        <v>4106448</v>
      </c>
      <c r="AM30" s="21">
        <v>16</v>
      </c>
      <c r="AN30" s="22">
        <v>84429646</v>
      </c>
      <c r="AO30" s="22">
        <v>2638426.4375</v>
      </c>
      <c r="AP30" s="22">
        <v>41641.28125</v>
      </c>
      <c r="AQ30" s="23">
        <v>6634160</v>
      </c>
      <c r="AR30" s="23">
        <v>2441840</v>
      </c>
      <c r="AS30" s="23">
        <v>1664608</v>
      </c>
      <c r="AT30" s="23">
        <v>2527712</v>
      </c>
      <c r="AU30" s="24">
        <v>73.489671874999999</v>
      </c>
      <c r="AV30" s="24">
        <v>75.712643749999998</v>
      </c>
      <c r="AW30" s="24">
        <v>34.826403124999999</v>
      </c>
      <c r="AX30" s="24">
        <v>42.162287499999998</v>
      </c>
      <c r="AY30" s="24">
        <v>43.838112500000001</v>
      </c>
      <c r="AZ30" s="25">
        <v>3246.11</v>
      </c>
      <c r="BA30" s="25">
        <v>7387.02</v>
      </c>
      <c r="BB30" s="25">
        <v>204.751</v>
      </c>
      <c r="BC30" s="25">
        <v>126.961</v>
      </c>
      <c r="BE30" s="50">
        <f t="shared" si="12"/>
        <v>1.0962876584184424</v>
      </c>
      <c r="BF30" s="26">
        <f t="shared" si="13"/>
        <v>3.4680023470061005E-3</v>
      </c>
      <c r="BG30" s="26">
        <f t="shared" si="14"/>
        <v>6.4476468619234506E-3</v>
      </c>
      <c r="BH30" s="26">
        <f t="array" ref="BH30">AVERAGE(AL30:AL34/AQ30:AQ34) - AVERAGE(N30:N34/S30:S34)</f>
        <v>8.1090113782283368E-3</v>
      </c>
      <c r="BJ30" s="50">
        <f>IF( OR(ISBLANK(N30:N34),ISBLANK(AL30:AL34), ISBLANK(W30:W34),ISBLANK(AU30:AU34)), "·", bdRateExtend( N30:N34,W30:W34, AL30:AL34,AU30:AU34))</f>
        <v>7.898020351489965E-2</v>
      </c>
      <c r="BK30" s="50">
        <f>IF( OR(ISBLANK(N30:N34),ISBLANK(AL30:AL34), ISBLANK(X30:X34),ISBLANK(AV30:AV34)), "·", bdRateExtend( N30:N34,X30:X34, AL30:AL34,AV30:AV34))</f>
        <v>9.3609374211263807E-2</v>
      </c>
      <c r="BL30" s="50">
        <f>IF( OR(ISBLANK(V30:V34),ISBLANK(AT30:AT34), ISBLANK(Y30:Y34),ISBLANK(AW30:AW34)), "·", bdRateExtend( V30:V34,Y30:Y34, AT30:AT34,AW30:AW34))</f>
        <v>1.8477033359413975E-2</v>
      </c>
      <c r="BM30" s="50">
        <f>IF( OR(ISBLANK(V30:V34),ISBLANK(AT30:AT34), ISBLANK(Z30:Z34),ISBLANK(AX30:AX34)), "·", bdRateExtend( V30:V34,Z30:Z34, AT30:AT34,AX30:AX34))</f>
        <v>2.7681929725479337E-2</v>
      </c>
      <c r="BN30" s="50">
        <f>IF( OR(ISBLANK(V30:V34),ISBLANK(AT30:AT34), ISBLANK(AA30:AA34),ISBLANK(AY30:AY34)), "·", bdRateExtend( V30:V34,AA30:AA34, AT30:AT34,AY30:AY34))</f>
        <v>3.5418550415960981E-2</v>
      </c>
      <c r="BP30" s="50">
        <f>IF( OR(ISBLANK(S30:S34),ISBLANK(AQ30:AQ34), ISBLANK(W30:W34),ISBLANK(AU30:AU34)), "·", bdRateExtend( S30:S34,W30:W34, AQ30:AQ34,AU30:AU34))</f>
        <v>5.7245096074338031E-2</v>
      </c>
      <c r="BQ30" s="50">
        <f>IF( OR(ISBLANK(S30:S34),ISBLANK(AQ30:AQ34), ISBLANK(X30:X34),ISBLANK(AV30:AV34)), "·", bdRateExtend( S30:S34,X30:X34, AQ30:AQ34,AV30:AV34))</f>
        <v>7.7739797368070462E-2</v>
      </c>
      <c r="BR30" s="50">
        <f>IF( OR(ISBLANK(S30:S34),ISBLANK(AQ30:AQ34), ISBLANK(Y30:Y34),ISBLANK(AW30:AW34)), "·", bdRateExtend( S30:S34,Y30:Y34, AQ30:AQ34,AW30:AW34))</f>
        <v>4.0422830850911362E-2</v>
      </c>
      <c r="BS30" s="50">
        <f>IF( OR(ISBLANK(S30:S34),ISBLANK(AQ30:AQ34), ISBLANK(Z30:Z34),ISBLANK(AX30:AX34)), "·", bdRateExtend( S30:S34,Z30:Z34, AQ30:AQ34,AX30:AX34))</f>
        <v>4.6244862056123104E-2</v>
      </c>
      <c r="BT30" s="50">
        <f>IF( OR(ISBLANK(S30:S34),ISBLANK(AQ30:AQ34), ISBLANK(AA30:AA34),ISBLANK(AY30:AY34)), "·", bdRateExtend( S30:S34,AA30:AA34, AQ30:AQ34,AY30:AY34))</f>
        <v>5.2267046588166943E-2</v>
      </c>
    </row>
    <row r="31" spans="1:72" outlineLevel="1" x14ac:dyDescent="0.45">
      <c r="A31" s="54"/>
      <c r="B31" s="54" t="s">
        <v>75</v>
      </c>
      <c r="C31" s="10" t="s">
        <v>231</v>
      </c>
      <c r="D31" s="54">
        <v>375422539</v>
      </c>
      <c r="E31" s="10">
        <v>11</v>
      </c>
      <c r="F31" s="10">
        <v>32</v>
      </c>
      <c r="G31" s="10">
        <v>30</v>
      </c>
      <c r="I31" s="11">
        <f t="shared" si="0"/>
        <v>8.1752775</v>
      </c>
      <c r="J31" s="12">
        <f t="shared" si="1"/>
        <v>2.3227950093854116E-2</v>
      </c>
      <c r="K31" s="12">
        <f t="shared" si="2"/>
        <v>1.2273274833933185E-2</v>
      </c>
      <c r="L31" s="12">
        <f t="shared" si="3"/>
        <v>8.4710097813280195E-3</v>
      </c>
      <c r="M31" s="12">
        <f t="shared" si="4"/>
        <v>1.0954675259920929E-2</v>
      </c>
      <c r="N31" s="54">
        <f t="shared" si="5"/>
        <v>4607664</v>
      </c>
      <c r="O31" s="12">
        <v>16</v>
      </c>
      <c r="P31" s="13">
        <v>89857639</v>
      </c>
      <c r="Q31" s="13">
        <v>2808051.21875</v>
      </c>
      <c r="R31" s="13">
        <v>41097.03125</v>
      </c>
      <c r="S31" s="14">
        <v>8720296</v>
      </c>
      <c r="T31" s="14">
        <v>3180208</v>
      </c>
      <c r="U31" s="14">
        <v>1427456</v>
      </c>
      <c r="V31" s="14">
        <v>4112632</v>
      </c>
      <c r="W31" s="15">
        <v>75.170684374999993</v>
      </c>
      <c r="X31" s="15">
        <v>77.575240625000006</v>
      </c>
      <c r="Y31" s="15">
        <v>36.650725000000001</v>
      </c>
      <c r="Z31" s="15">
        <v>42.678503124999999</v>
      </c>
      <c r="AA31" s="15">
        <v>45.052521874999996</v>
      </c>
      <c r="AB31" s="16">
        <v>4616.8500000000004</v>
      </c>
      <c r="AC31" s="16">
        <v>8125.32</v>
      </c>
      <c r="AD31" s="16">
        <v>223.06200000000001</v>
      </c>
      <c r="AE31" s="16">
        <v>110.372</v>
      </c>
      <c r="AG31" s="11">
        <f t="shared" si="6"/>
        <v>8.7955500000000004</v>
      </c>
      <c r="AH31" s="12">
        <f t="shared" si="7"/>
        <v>2.4990295001973764E-2</v>
      </c>
      <c r="AI31" s="12">
        <f t="shared" si="8"/>
        <v>1.3349885740344429E-2</v>
      </c>
      <c r="AJ31" s="12">
        <f t="shared" si="9"/>
        <v>8.915927128179164E-3</v>
      </c>
      <c r="AK31" s="12">
        <f t="shared" si="10"/>
        <v>1.1640409261629334E-2</v>
      </c>
      <c r="AL31" s="54">
        <f t="shared" si="11"/>
        <v>5011848</v>
      </c>
      <c r="AM31" s="12">
        <v>16</v>
      </c>
      <c r="AN31" s="13">
        <v>90671279</v>
      </c>
      <c r="AO31" s="13">
        <v>2833477.46875</v>
      </c>
      <c r="AP31" s="13">
        <v>53078.59375</v>
      </c>
      <c r="AQ31" s="14">
        <v>9381920</v>
      </c>
      <c r="AR31" s="14">
        <v>3347240</v>
      </c>
      <c r="AS31" s="14">
        <v>1664608</v>
      </c>
      <c r="AT31" s="14">
        <v>4370072</v>
      </c>
      <c r="AU31" s="15">
        <v>75.220584375000001</v>
      </c>
      <c r="AV31" s="15">
        <v>77.558640624999995</v>
      </c>
      <c r="AW31" s="15">
        <v>36.750053125000001</v>
      </c>
      <c r="AX31" s="15">
        <v>42.700931249999996</v>
      </c>
      <c r="AY31" s="15">
        <v>45.066490625</v>
      </c>
      <c r="AZ31" s="16">
        <v>4846.09</v>
      </c>
      <c r="BA31" s="16">
        <v>8007.06</v>
      </c>
      <c r="BB31" s="16">
        <v>200.233</v>
      </c>
      <c r="BC31" s="16">
        <v>115.245</v>
      </c>
      <c r="BE31" s="51">
        <f t="shared" si="12"/>
        <v>1.0877199379121396</v>
      </c>
      <c r="BF31" s="17">
        <f t="shared" si="13"/>
        <v>4.0972404328266931E-3</v>
      </c>
      <c r="BG31" s="17">
        <f t="shared" si="14"/>
        <v>5.8189082061431696E-3</v>
      </c>
      <c r="BH31" s="17"/>
      <c r="BJ31" s="51"/>
      <c r="BK31" s="51"/>
      <c r="BL31" s="51"/>
      <c r="BM31" s="51"/>
      <c r="BN31" s="51"/>
      <c r="BP31" s="51"/>
      <c r="BQ31" s="51"/>
      <c r="BR31" s="51"/>
      <c r="BS31" s="51"/>
      <c r="BT31" s="51"/>
    </row>
    <row r="32" spans="1:72" outlineLevel="1" x14ac:dyDescent="0.45">
      <c r="A32" s="18"/>
      <c r="B32" s="18" t="s">
        <v>75</v>
      </c>
      <c r="C32" s="19" t="s">
        <v>232</v>
      </c>
      <c r="D32" s="18">
        <v>375422539</v>
      </c>
      <c r="E32" s="19">
        <v>11</v>
      </c>
      <c r="F32" s="19">
        <v>32</v>
      </c>
      <c r="G32" s="19">
        <v>30</v>
      </c>
      <c r="I32" s="20">
        <f t="shared" si="0"/>
        <v>12.6639</v>
      </c>
      <c r="J32" s="21">
        <f t="shared" si="1"/>
        <v>3.5981217419660573E-2</v>
      </c>
      <c r="K32" s="21">
        <f t="shared" si="2"/>
        <v>1.5579735877285728E-2</v>
      </c>
      <c r="L32" s="21">
        <f t="shared" si="3"/>
        <v>1.1777470824680562E-2</v>
      </c>
      <c r="M32" s="21">
        <f t="shared" si="4"/>
        <v>2.0401481542374846E-2</v>
      </c>
      <c r="N32" s="18">
        <f t="shared" si="5"/>
        <v>5848984</v>
      </c>
      <c r="O32" s="21">
        <v>16</v>
      </c>
      <c r="P32" s="22">
        <v>91814344</v>
      </c>
      <c r="Q32" s="22">
        <v>2869198.25</v>
      </c>
      <c r="R32" s="22">
        <v>44687.40625</v>
      </c>
      <c r="S32" s="23">
        <v>13508160</v>
      </c>
      <c r="T32" s="23">
        <v>4421528</v>
      </c>
      <c r="U32" s="23">
        <v>1427456</v>
      </c>
      <c r="V32" s="23">
        <v>7659176</v>
      </c>
      <c r="W32" s="24">
        <v>76.466315624999993</v>
      </c>
      <c r="X32" s="24">
        <v>79.123750000000001</v>
      </c>
      <c r="Y32" s="24">
        <v>38.406484374999998</v>
      </c>
      <c r="Z32" s="24">
        <v>43.205109374999999</v>
      </c>
      <c r="AA32" s="24">
        <v>46.226287499999998</v>
      </c>
      <c r="AB32" s="25">
        <v>3603.36</v>
      </c>
      <c r="AC32" s="25">
        <v>4735.41</v>
      </c>
      <c r="AD32" s="25">
        <v>233.76400000000001</v>
      </c>
      <c r="AE32" s="25">
        <v>114.426</v>
      </c>
      <c r="AG32" s="20">
        <f t="shared" si="6"/>
        <v>13.46508</v>
      </c>
      <c r="AH32" s="21">
        <f t="shared" si="7"/>
        <v>3.8257564498544928E-2</v>
      </c>
      <c r="AI32" s="21">
        <f t="shared" si="8"/>
        <v>1.6845019526118544E-2</v>
      </c>
      <c r="AJ32" s="21">
        <f t="shared" si="9"/>
        <v>1.2411060913953277E-2</v>
      </c>
      <c r="AK32" s="21">
        <f t="shared" si="10"/>
        <v>2.1412544972426388E-2</v>
      </c>
      <c r="AL32" s="18">
        <f t="shared" si="11"/>
        <v>6324000</v>
      </c>
      <c r="AM32" s="21">
        <v>16</v>
      </c>
      <c r="AN32" s="22">
        <v>92776777</v>
      </c>
      <c r="AO32" s="22">
        <v>2899274.28125</v>
      </c>
      <c r="AP32" s="22">
        <v>58110.75</v>
      </c>
      <c r="AQ32" s="23">
        <v>14362752</v>
      </c>
      <c r="AR32" s="23">
        <v>4659392</v>
      </c>
      <c r="AS32" s="23">
        <v>1664608</v>
      </c>
      <c r="AT32" s="23">
        <v>8038752</v>
      </c>
      <c r="AU32" s="24">
        <v>76.532918749999993</v>
      </c>
      <c r="AV32" s="24">
        <v>79.097418750000003</v>
      </c>
      <c r="AW32" s="24">
        <v>38.487881250000001</v>
      </c>
      <c r="AX32" s="24">
        <v>43.225109375000002</v>
      </c>
      <c r="AY32" s="24">
        <v>46.232128125000003</v>
      </c>
      <c r="AZ32" s="25">
        <v>4932.76</v>
      </c>
      <c r="BA32" s="25">
        <v>10134.799999999999</v>
      </c>
      <c r="BB32" s="25">
        <v>205.00800000000001</v>
      </c>
      <c r="BC32" s="25">
        <v>114.602</v>
      </c>
      <c r="BE32" s="50">
        <f t="shared" si="12"/>
        <v>1.0812134209975612</v>
      </c>
      <c r="BF32" s="26">
        <f t="shared" si="13"/>
        <v>4.4683296726929205E-3</v>
      </c>
      <c r="BG32" s="26">
        <f t="shared" si="14"/>
        <v>7.3092386259154263E-3</v>
      </c>
      <c r="BH32" s="26"/>
      <c r="BJ32" s="50"/>
      <c r="BK32" s="50"/>
      <c r="BL32" s="50"/>
      <c r="BM32" s="50"/>
      <c r="BN32" s="50"/>
      <c r="BP32" s="50"/>
      <c r="BQ32" s="50"/>
      <c r="BR32" s="50"/>
      <c r="BS32" s="50"/>
      <c r="BT32" s="50"/>
    </row>
    <row r="33" spans="1:72" outlineLevel="1" x14ac:dyDescent="0.45">
      <c r="A33" s="54"/>
      <c r="B33" s="54" t="s">
        <v>75</v>
      </c>
      <c r="C33" s="10" t="s">
        <v>233</v>
      </c>
      <c r="D33" s="54">
        <v>375422539</v>
      </c>
      <c r="E33" s="10">
        <v>11</v>
      </c>
      <c r="F33" s="10">
        <v>32</v>
      </c>
      <c r="G33" s="10">
        <v>30</v>
      </c>
      <c r="I33" s="11">
        <f t="shared" si="0"/>
        <v>21.163305000000001</v>
      </c>
      <c r="J33" s="12">
        <f t="shared" si="1"/>
        <v>6.0130092508910341E-2</v>
      </c>
      <c r="K33" s="12">
        <f t="shared" si="2"/>
        <v>2.1049370187121344E-2</v>
      </c>
      <c r="L33" s="12">
        <f t="shared" si="3"/>
        <v>1.7247105134516178E-2</v>
      </c>
      <c r="M33" s="12">
        <f t="shared" si="4"/>
        <v>3.9080722321788997E-2</v>
      </c>
      <c r="N33" s="54">
        <f t="shared" si="5"/>
        <v>7902408</v>
      </c>
      <c r="O33" s="12">
        <v>16</v>
      </c>
      <c r="P33" s="13">
        <v>93918250</v>
      </c>
      <c r="Q33" s="13">
        <v>2934945.3125</v>
      </c>
      <c r="R33" s="13">
        <v>49412.375</v>
      </c>
      <c r="S33" s="14">
        <v>22574192</v>
      </c>
      <c r="T33" s="14">
        <v>6474952</v>
      </c>
      <c r="U33" s="14">
        <v>1427456</v>
      </c>
      <c r="V33" s="14">
        <v>14671784</v>
      </c>
      <c r="W33" s="15">
        <v>77.598421875</v>
      </c>
      <c r="X33" s="15">
        <v>80.328506250000004</v>
      </c>
      <c r="Y33" s="15">
        <v>40.000678125</v>
      </c>
      <c r="Z33" s="15">
        <v>43.908221875000002</v>
      </c>
      <c r="AA33" s="15">
        <v>47.816415624999998</v>
      </c>
      <c r="AB33" s="16">
        <v>4613.6499999999996</v>
      </c>
      <c r="AC33" s="16">
        <v>7186.68</v>
      </c>
      <c r="AD33" s="16">
        <v>209.30199999999999</v>
      </c>
      <c r="AE33" s="16">
        <v>88.016999999999996</v>
      </c>
      <c r="AG33" s="11">
        <f t="shared" si="6"/>
        <v>22.352197499999999</v>
      </c>
      <c r="AH33" s="12">
        <f t="shared" si="7"/>
        <v>6.3508025020309181E-2</v>
      </c>
      <c r="AI33" s="12">
        <f t="shared" si="8"/>
        <v>2.2720511194454417E-2</v>
      </c>
      <c r="AJ33" s="12">
        <f t="shared" si="9"/>
        <v>1.8286552582289152E-2</v>
      </c>
      <c r="AK33" s="12">
        <f t="shared" si="10"/>
        <v>4.0787513825854764E-2</v>
      </c>
      <c r="AL33" s="54">
        <f t="shared" si="11"/>
        <v>8529792</v>
      </c>
      <c r="AM33" s="12">
        <v>16</v>
      </c>
      <c r="AN33" s="13">
        <v>95276620</v>
      </c>
      <c r="AO33" s="13">
        <v>2977394.375</v>
      </c>
      <c r="AP33" s="13">
        <v>65286.40625</v>
      </c>
      <c r="AQ33" s="14">
        <v>23842344</v>
      </c>
      <c r="AR33" s="14">
        <v>6865184</v>
      </c>
      <c r="AS33" s="14">
        <v>1664608</v>
      </c>
      <c r="AT33" s="14">
        <v>15312552</v>
      </c>
      <c r="AU33" s="15">
        <v>77.548715625</v>
      </c>
      <c r="AV33" s="15">
        <v>80.267978124999999</v>
      </c>
      <c r="AW33" s="15">
        <v>40.091506250000002</v>
      </c>
      <c r="AX33" s="15">
        <v>43.933196875</v>
      </c>
      <c r="AY33" s="15">
        <v>47.872237499999997</v>
      </c>
      <c r="AZ33" s="16">
        <v>4215.93</v>
      </c>
      <c r="BA33" s="16">
        <v>7647.58</v>
      </c>
      <c r="BB33" s="16">
        <v>223.32</v>
      </c>
      <c r="BC33" s="16">
        <v>132.12799999999999</v>
      </c>
      <c r="BE33" s="51">
        <f t="shared" si="12"/>
        <v>1.0793914968703211</v>
      </c>
      <c r="BF33" s="17">
        <f t="shared" si="13"/>
        <v>5.091486781111234E-3</v>
      </c>
      <c r="BG33" s="17">
        <f t="shared" si="14"/>
        <v>7.6942879473284043E-3</v>
      </c>
      <c r="BH33" s="17"/>
      <c r="BJ33" s="51"/>
      <c r="BK33" s="51"/>
      <c r="BL33" s="51"/>
      <c r="BM33" s="51"/>
      <c r="BN33" s="51"/>
      <c r="BP33" s="51"/>
      <c r="BQ33" s="51"/>
      <c r="BR33" s="51"/>
      <c r="BS33" s="51"/>
      <c r="BT33" s="51"/>
    </row>
    <row r="34" spans="1:72" outlineLevel="1" x14ac:dyDescent="0.45">
      <c r="A34" s="18"/>
      <c r="B34" s="37" t="s">
        <v>75</v>
      </c>
      <c r="C34" s="38" t="s">
        <v>234</v>
      </c>
      <c r="D34" s="37">
        <v>375422539</v>
      </c>
      <c r="E34" s="38">
        <v>11</v>
      </c>
      <c r="F34" s="38">
        <v>32</v>
      </c>
      <c r="G34" s="38">
        <v>30</v>
      </c>
      <c r="I34" s="39">
        <f t="shared" si="0"/>
        <v>39.830572500000002</v>
      </c>
      <c r="J34" s="40">
        <f t="shared" si="1"/>
        <v>0.11316833590537301</v>
      </c>
      <c r="K34" s="40">
        <f t="shared" si="2"/>
        <v>3.3717187129246921E-2</v>
      </c>
      <c r="L34" s="40">
        <f t="shared" si="3"/>
        <v>2.6181230424207429E-2</v>
      </c>
      <c r="M34" s="40">
        <f t="shared" si="4"/>
        <v>7.9451148776126093E-2</v>
      </c>
      <c r="N34" s="37">
        <f t="shared" si="5"/>
        <v>12658192</v>
      </c>
      <c r="O34" s="40">
        <v>16</v>
      </c>
      <c r="P34" s="41">
        <v>92079625</v>
      </c>
      <c r="Q34" s="41">
        <v>2877488.28125</v>
      </c>
      <c r="R34" s="41">
        <v>21318.28125</v>
      </c>
      <c r="S34" s="42">
        <v>42485944</v>
      </c>
      <c r="T34" s="42">
        <v>9829024</v>
      </c>
      <c r="U34" s="42">
        <v>2829168</v>
      </c>
      <c r="V34" s="42">
        <v>29827752</v>
      </c>
      <c r="W34" s="43">
        <v>78.535987500000005</v>
      </c>
      <c r="X34" s="43">
        <v>81.998384375000001</v>
      </c>
      <c r="Y34" s="43">
        <v>41.515903125000001</v>
      </c>
      <c r="Z34" s="43">
        <v>44.700215624999998</v>
      </c>
      <c r="AA34" s="43">
        <v>49.230596875000003</v>
      </c>
      <c r="AB34" s="44">
        <v>3893.06</v>
      </c>
      <c r="AC34" s="44">
        <v>6921.28</v>
      </c>
      <c r="AD34" s="44">
        <v>304.40800000000002</v>
      </c>
      <c r="AE34" s="44">
        <v>148.80000000000001</v>
      </c>
      <c r="AG34" s="39">
        <f t="shared" si="6"/>
        <v>41.984272500000003</v>
      </c>
      <c r="AH34" s="40">
        <f t="shared" si="7"/>
        <v>0.11928752098711899</v>
      </c>
      <c r="AI34" s="40">
        <f t="shared" si="8"/>
        <v>3.7123865916851628E-2</v>
      </c>
      <c r="AJ34" s="40">
        <f t="shared" si="9"/>
        <v>2.7931919132857391E-2</v>
      </c>
      <c r="AK34" s="40">
        <f t="shared" si="10"/>
        <v>8.2163655070267377E-2</v>
      </c>
      <c r="AL34" s="37">
        <f t="shared" si="11"/>
        <v>13937136</v>
      </c>
      <c r="AM34" s="40">
        <v>16</v>
      </c>
      <c r="AN34" s="41">
        <v>92854820</v>
      </c>
      <c r="AO34" s="41">
        <v>2901713.125</v>
      </c>
      <c r="AP34" s="41">
        <v>28821.71875</v>
      </c>
      <c r="AQ34" s="42">
        <v>44783224</v>
      </c>
      <c r="AR34" s="42">
        <v>10486272</v>
      </c>
      <c r="AS34" s="42">
        <v>3450864</v>
      </c>
      <c r="AT34" s="42">
        <v>30846088</v>
      </c>
      <c r="AU34" s="43">
        <v>78.674934375000007</v>
      </c>
      <c r="AV34" s="43">
        <v>81.99309375</v>
      </c>
      <c r="AW34" s="43">
        <v>41.594000000000001</v>
      </c>
      <c r="AX34" s="43">
        <v>44.735031249999999</v>
      </c>
      <c r="AY34" s="43">
        <v>49.292484375000001</v>
      </c>
      <c r="AZ34" s="44">
        <v>4823.1099999999997</v>
      </c>
      <c r="BA34" s="44">
        <v>11542.7</v>
      </c>
      <c r="BB34" s="44">
        <v>319.41800000000001</v>
      </c>
      <c r="BC34" s="44">
        <v>155.93899999999999</v>
      </c>
      <c r="BE34" s="45">
        <f t="shared" si="12"/>
        <v>1.1010368621363937</v>
      </c>
      <c r="BF34" s="46">
        <f t="shared" si="13"/>
        <v>2.5240139130330852E-3</v>
      </c>
      <c r="BG34" s="46">
        <f t="shared" si="14"/>
        <v>1.3274975249831511E-2</v>
      </c>
      <c r="BH34" s="46"/>
      <c r="BJ34" s="45"/>
      <c r="BK34" s="45"/>
      <c r="BL34" s="45"/>
      <c r="BM34" s="45"/>
      <c r="BN34" s="45"/>
      <c r="BP34" s="45"/>
      <c r="BQ34" s="45"/>
      <c r="BR34" s="45"/>
      <c r="BS34" s="45"/>
      <c r="BT34" s="45"/>
    </row>
    <row r="35" spans="1:72" x14ac:dyDescent="0.45">
      <c r="A35" s="54"/>
      <c r="B35" s="54" t="s">
        <v>80</v>
      </c>
      <c r="C35" s="10" t="s">
        <v>230</v>
      </c>
      <c r="D35" s="54">
        <v>333190689</v>
      </c>
      <c r="E35" s="10">
        <v>11</v>
      </c>
      <c r="F35" s="10">
        <v>32</v>
      </c>
      <c r="G35" s="10">
        <v>30</v>
      </c>
      <c r="I35" s="11">
        <f t="shared" si="0"/>
        <v>6.3759674999999998</v>
      </c>
      <c r="J35" s="12">
        <f t="shared" si="1"/>
        <v>2.0411830896030832E-2</v>
      </c>
      <c r="K35" s="12">
        <f t="shared" si="2"/>
        <v>1.1829190100807409E-2</v>
      </c>
      <c r="L35" s="12">
        <f t="shared" si="3"/>
        <v>7.2102134882886838E-3</v>
      </c>
      <c r="M35" s="12">
        <f t="shared" si="4"/>
        <v>8.5826407952234226E-3</v>
      </c>
      <c r="N35" s="54">
        <f t="shared" si="5"/>
        <v>3941376</v>
      </c>
      <c r="O35" s="12">
        <v>16</v>
      </c>
      <c r="P35" s="13">
        <v>74688855</v>
      </c>
      <c r="Q35" s="13">
        <v>2334026.71875</v>
      </c>
      <c r="R35" s="13">
        <v>31011.90625</v>
      </c>
      <c r="S35" s="14">
        <v>6801032</v>
      </c>
      <c r="T35" s="14">
        <v>2402376</v>
      </c>
      <c r="U35" s="14">
        <v>1539000</v>
      </c>
      <c r="V35" s="14">
        <v>2859656</v>
      </c>
      <c r="W35" s="15">
        <v>73.191281250000003</v>
      </c>
      <c r="X35" s="15">
        <v>75.430568750000006</v>
      </c>
      <c r="Y35" s="15">
        <v>33.996271874999998</v>
      </c>
      <c r="Z35" s="15">
        <v>42.563065625</v>
      </c>
      <c r="AA35" s="15">
        <v>44.049106250000001</v>
      </c>
      <c r="AB35" s="16">
        <v>4133.6000000000004</v>
      </c>
      <c r="AC35" s="16">
        <v>10829.8</v>
      </c>
      <c r="AD35" s="16">
        <v>159.81700000000001</v>
      </c>
      <c r="AE35" s="16">
        <v>107.131</v>
      </c>
      <c r="AG35" s="11">
        <f t="shared" si="6"/>
        <v>6.9549975000000002</v>
      </c>
      <c r="AH35" s="12">
        <f t="shared" si="7"/>
        <v>2.2265520150834706E-2</v>
      </c>
      <c r="AI35" s="12">
        <f t="shared" si="8"/>
        <v>1.3071457708111404E-2</v>
      </c>
      <c r="AJ35" s="12">
        <f t="shared" si="9"/>
        <v>7.5526960478778564E-3</v>
      </c>
      <c r="AK35" s="12">
        <f t="shared" si="10"/>
        <v>9.1940624427233018E-3</v>
      </c>
      <c r="AL35" s="54">
        <f t="shared" si="11"/>
        <v>4355288</v>
      </c>
      <c r="AM35" s="12">
        <v>16</v>
      </c>
      <c r="AN35" s="13">
        <v>75319533</v>
      </c>
      <c r="AO35" s="13">
        <v>2353735.40625</v>
      </c>
      <c r="AP35" s="13">
        <v>43009.28125</v>
      </c>
      <c r="AQ35" s="14">
        <v>7418664</v>
      </c>
      <c r="AR35" s="14">
        <v>2516488</v>
      </c>
      <c r="AS35" s="14">
        <v>1838800</v>
      </c>
      <c r="AT35" s="14">
        <v>3063376</v>
      </c>
      <c r="AU35" s="15">
        <v>73.257678124999998</v>
      </c>
      <c r="AV35" s="15">
        <v>75.416740625000003</v>
      </c>
      <c r="AW35" s="15">
        <v>34.065837500000001</v>
      </c>
      <c r="AX35" s="15">
        <v>42.529609375</v>
      </c>
      <c r="AY35" s="15">
        <v>44.119746874999997</v>
      </c>
      <c r="AZ35" s="16">
        <v>3902.65</v>
      </c>
      <c r="BA35" s="16">
        <v>9980.7199999999993</v>
      </c>
      <c r="BB35" s="16">
        <v>191.762</v>
      </c>
      <c r="BC35" s="16">
        <v>146.87200000000001</v>
      </c>
      <c r="BE35" s="51">
        <f t="shared" si="12"/>
        <v>1.1050171310730059</v>
      </c>
      <c r="BF35" s="17">
        <f t="shared" si="13"/>
        <v>4.9859080287214825E-3</v>
      </c>
      <c r="BG35" s="17">
        <f t="shared" si="14"/>
        <v>7.5455762686147398E-3</v>
      </c>
      <c r="BH35" s="17">
        <f t="array" ref="BH35">AVERAGE(AL35:AL39/AQ35:AQ39) - AVERAGE(N35:N39/S35:S39)</f>
        <v>8.5182812157426069E-3</v>
      </c>
      <c r="BJ35" s="51">
        <f>IF( OR(ISBLANK(N35:N39),ISBLANK(AL35:AL39), ISBLANK(W35:W39),ISBLANK(AU35:AU39)), "·", bdRateExtend( N35:N39,W35:W39, AL35:AL39,AU35:AU39))</f>
        <v>7.8338692317501346E-2</v>
      </c>
      <c r="BK35" s="51">
        <f>IF( OR(ISBLANK(N35:N39),ISBLANK(AL35:AL39), ISBLANK(X35:X39),ISBLANK(AV35:AV39)), "·", bdRateExtend( N35:N39,X35:X39, AL35:AL39,AV35:AV39))</f>
        <v>9.6588389283981835E-2</v>
      </c>
      <c r="BL35" s="51">
        <f>IF( OR(ISBLANK(V35:V39),ISBLANK(AT35:AT39), ISBLANK(Y35:Y39),ISBLANK(AW35:AW39)), "·", bdRateExtend( V35:V39,Y35:Y39, AT35:AT39,AW35:AW39))</f>
        <v>3.0148481970620145E-2</v>
      </c>
      <c r="BM35" s="51">
        <f>IF( OR(ISBLANK(V35:V39),ISBLANK(AT35:AT39), ISBLANK(Z35:Z39),ISBLANK(AX35:AX39)), "·", bdRateExtend( V35:V39,Z35:Z39, AT35:AT39,AX35:AX39))</f>
        <v>4.434194120143764E-2</v>
      </c>
      <c r="BN35" s="51">
        <f>IF( OR(ISBLANK(V35:V39),ISBLANK(AT35:AT39), ISBLANK(AA35:AA39),ISBLANK(AY35:AY39)), "·", bdRateExtend( V35:V39,AA35:AA39, AT35:AT39,AY35:AY39))</f>
        <v>2.89269003385213E-2</v>
      </c>
      <c r="BP35" s="51">
        <f>IF( OR(ISBLANK(S35:S39),ISBLANK(AQ35:AQ39), ISBLANK(W35:W39),ISBLANK(AU35:AU39)), "·", bdRateExtend( S35:S39,W35:W39, AQ35:AQ39,AU35:AU39))</f>
        <v>5.1856811526006297E-2</v>
      </c>
      <c r="BQ35" s="51">
        <f>IF( OR(ISBLANK(S35:S39),ISBLANK(AQ35:AQ39), ISBLANK(X35:X39),ISBLANK(AV35:AV39)), "·", bdRateExtend( S35:S39,X35:X39, AQ35:AQ39,AV35:AV39))</f>
        <v>7.7082433082123591E-2</v>
      </c>
      <c r="BR35" s="51">
        <f>IF( OR(ISBLANK(S35:S39),ISBLANK(AQ35:AQ39), ISBLANK(Y35:Y39),ISBLANK(AW35:AW39)), "·", bdRateExtend( S35:S39,Y35:Y39, AQ35:AQ39,AW35:AW39))</f>
        <v>5.019312593521752E-2</v>
      </c>
      <c r="BS35" s="51">
        <f>IF( OR(ISBLANK(S35:S39),ISBLANK(AQ35:AQ39), ISBLANK(Z35:Z39),ISBLANK(AX35:AX39)), "·", bdRateExtend( S35:S39,Z35:Z39, AQ35:AQ39,AX35:AX39))</f>
        <v>5.9605068074747969E-2</v>
      </c>
      <c r="BT35" s="51">
        <f>IF( OR(ISBLANK(S35:S39),ISBLANK(AQ35:AQ39), ISBLANK(AA35:AA39),ISBLANK(AY35:AY39)), "·", bdRateExtend( S35:S39,AA35:AA39, AQ35:AQ39,AY35:AY39))</f>
        <v>4.9366118955495031E-2</v>
      </c>
    </row>
    <row r="36" spans="1:72" outlineLevel="1" x14ac:dyDescent="0.45">
      <c r="A36" s="18"/>
      <c r="B36" s="18" t="s">
        <v>80</v>
      </c>
      <c r="C36" s="19" t="s">
        <v>231</v>
      </c>
      <c r="D36" s="18">
        <v>333190689</v>
      </c>
      <c r="E36" s="19">
        <v>11</v>
      </c>
      <c r="F36" s="19">
        <v>32</v>
      </c>
      <c r="G36" s="19">
        <v>30</v>
      </c>
      <c r="I36" s="20">
        <f t="shared" si="0"/>
        <v>9.0721050000000005</v>
      </c>
      <c r="J36" s="21">
        <f t="shared" si="1"/>
        <v>2.9043164528526184E-2</v>
      </c>
      <c r="K36" s="21">
        <f t="shared" si="2"/>
        <v>1.4424772836314163E-2</v>
      </c>
      <c r="L36" s="21">
        <f t="shared" si="3"/>
        <v>9.8057962237954373E-3</v>
      </c>
      <c r="M36" s="21">
        <f t="shared" si="4"/>
        <v>1.4618391692212023E-2</v>
      </c>
      <c r="N36" s="18">
        <f t="shared" si="5"/>
        <v>4806200</v>
      </c>
      <c r="O36" s="21">
        <v>16</v>
      </c>
      <c r="P36" s="22">
        <v>79945808</v>
      </c>
      <c r="Q36" s="22">
        <v>2498306.5</v>
      </c>
      <c r="R36" s="22">
        <v>39523.15625</v>
      </c>
      <c r="S36" s="23">
        <v>9676912</v>
      </c>
      <c r="T36" s="23">
        <v>3267200</v>
      </c>
      <c r="U36" s="23">
        <v>1539000</v>
      </c>
      <c r="V36" s="23">
        <v>4870712</v>
      </c>
      <c r="W36" s="24">
        <v>74.930581250000003</v>
      </c>
      <c r="X36" s="24">
        <v>77.358815625000005</v>
      </c>
      <c r="Y36" s="24">
        <v>36.098925000000001</v>
      </c>
      <c r="Z36" s="24">
        <v>43.168593749999999</v>
      </c>
      <c r="AA36" s="24">
        <v>45.335743749999999</v>
      </c>
      <c r="AB36" s="25">
        <v>4150.1499999999996</v>
      </c>
      <c r="AC36" s="25">
        <v>10798</v>
      </c>
      <c r="AD36" s="25">
        <v>200.20500000000001</v>
      </c>
      <c r="AE36" s="25">
        <v>134.99199999999999</v>
      </c>
      <c r="AG36" s="20">
        <f t="shared" si="6"/>
        <v>9.7781625000000005</v>
      </c>
      <c r="AH36" s="21">
        <f t="shared" si="7"/>
        <v>3.1303515807430023E-2</v>
      </c>
      <c r="AI36" s="21">
        <f t="shared" si="8"/>
        <v>1.5784186574313304E-2</v>
      </c>
      <c r="AJ36" s="21">
        <f t="shared" si="9"/>
        <v>1.0265424914079757E-2</v>
      </c>
      <c r="AK36" s="21">
        <f t="shared" si="10"/>
        <v>1.5519329233116715E-2</v>
      </c>
      <c r="AL36" s="18">
        <f t="shared" si="11"/>
        <v>5259144</v>
      </c>
      <c r="AM36" s="21">
        <v>16</v>
      </c>
      <c r="AN36" s="22">
        <v>80908711</v>
      </c>
      <c r="AO36" s="22">
        <v>2528397.21875</v>
      </c>
      <c r="AP36" s="22">
        <v>54620.40625</v>
      </c>
      <c r="AQ36" s="23">
        <v>10430040</v>
      </c>
      <c r="AR36" s="23">
        <v>3420344</v>
      </c>
      <c r="AS36" s="23">
        <v>1838800</v>
      </c>
      <c r="AT36" s="23">
        <v>5170896</v>
      </c>
      <c r="AU36" s="24">
        <v>75.003071875000003</v>
      </c>
      <c r="AV36" s="24">
        <v>77.350715625000007</v>
      </c>
      <c r="AW36" s="24">
        <v>36.173531250000003</v>
      </c>
      <c r="AX36" s="24">
        <v>43.168956250000001</v>
      </c>
      <c r="AY36" s="24">
        <v>45.422940625000003</v>
      </c>
      <c r="AZ36" s="25">
        <v>3684.66</v>
      </c>
      <c r="BA36" s="25">
        <v>6403.65</v>
      </c>
      <c r="BB36" s="25">
        <v>186.529</v>
      </c>
      <c r="BC36" s="25">
        <v>126.874</v>
      </c>
      <c r="BE36" s="50">
        <f t="shared" si="12"/>
        <v>1.0942416045940659</v>
      </c>
      <c r="BF36" s="26">
        <f t="shared" si="13"/>
        <v>5.7828000103166098E-3</v>
      </c>
      <c r="BG36" s="26">
        <f t="shared" si="14"/>
        <v>7.5637675033977114E-3</v>
      </c>
      <c r="BH36" s="26"/>
      <c r="BJ36" s="50"/>
      <c r="BK36" s="50"/>
      <c r="BL36" s="50"/>
      <c r="BM36" s="50"/>
      <c r="BN36" s="50"/>
      <c r="BP36" s="50"/>
      <c r="BQ36" s="50"/>
      <c r="BR36" s="50"/>
      <c r="BS36" s="50"/>
      <c r="BT36" s="50"/>
    </row>
    <row r="37" spans="1:72" outlineLevel="1" x14ac:dyDescent="0.45">
      <c r="A37" s="54"/>
      <c r="B37" s="54" t="s">
        <v>80</v>
      </c>
      <c r="C37" s="10" t="s">
        <v>232</v>
      </c>
      <c r="D37" s="54">
        <v>333190689</v>
      </c>
      <c r="E37" s="10">
        <v>11</v>
      </c>
      <c r="F37" s="10">
        <v>32</v>
      </c>
      <c r="G37" s="10">
        <v>30</v>
      </c>
      <c r="I37" s="11">
        <f t="shared" si="0"/>
        <v>13.780492499999999</v>
      </c>
      <c r="J37" s="12">
        <f t="shared" si="1"/>
        <v>4.411645488688911E-2</v>
      </c>
      <c r="K37" s="12">
        <f t="shared" si="2"/>
        <v>1.8223870595615595E-2</v>
      </c>
      <c r="L37" s="12">
        <f t="shared" si="3"/>
        <v>1.3604893983096869E-2</v>
      </c>
      <c r="M37" s="12">
        <f t="shared" si="4"/>
        <v>2.5892584291273519E-2</v>
      </c>
      <c r="N37" s="54">
        <f t="shared" si="5"/>
        <v>6072024</v>
      </c>
      <c r="O37" s="12">
        <v>16</v>
      </c>
      <c r="P37" s="13">
        <v>81780101</v>
      </c>
      <c r="Q37" s="13">
        <v>2555628.15625</v>
      </c>
      <c r="R37" s="13">
        <v>43014.71875</v>
      </c>
      <c r="S37" s="14">
        <v>14699192</v>
      </c>
      <c r="T37" s="14">
        <v>4533024</v>
      </c>
      <c r="U37" s="14">
        <v>1539000</v>
      </c>
      <c r="V37" s="14">
        <v>8627168</v>
      </c>
      <c r="W37" s="15">
        <v>76.238812499999995</v>
      </c>
      <c r="X37" s="15">
        <v>78.941209375</v>
      </c>
      <c r="Y37" s="15">
        <v>37.928059374999997</v>
      </c>
      <c r="Z37" s="15">
        <v>43.745262500000003</v>
      </c>
      <c r="AA37" s="15">
        <v>46.49266875</v>
      </c>
      <c r="AB37" s="16">
        <v>3500.16</v>
      </c>
      <c r="AC37" s="16">
        <v>8223.7800000000007</v>
      </c>
      <c r="AD37" s="16">
        <v>203.53</v>
      </c>
      <c r="AE37" s="16">
        <v>144.18100000000001</v>
      </c>
      <c r="AG37" s="11">
        <f t="shared" si="6"/>
        <v>14.7067725</v>
      </c>
      <c r="AH37" s="12">
        <f t="shared" si="7"/>
        <v>4.7081819864420039E-2</v>
      </c>
      <c r="AI37" s="12">
        <f t="shared" si="8"/>
        <v>1.9752700832525366E-2</v>
      </c>
      <c r="AJ37" s="12">
        <f t="shared" si="9"/>
        <v>1.4233939172291816E-2</v>
      </c>
      <c r="AK37" s="12">
        <f t="shared" si="10"/>
        <v>2.7329119031894677E-2</v>
      </c>
      <c r="AL37" s="54">
        <f t="shared" si="11"/>
        <v>6581416</v>
      </c>
      <c r="AM37" s="12">
        <v>16</v>
      </c>
      <c r="AN37" s="13">
        <v>82896694</v>
      </c>
      <c r="AO37" s="13">
        <v>2590521.6875</v>
      </c>
      <c r="AP37" s="13">
        <v>59399.71875</v>
      </c>
      <c r="AQ37" s="14">
        <v>15687224</v>
      </c>
      <c r="AR37" s="14">
        <v>4742616</v>
      </c>
      <c r="AS37" s="14">
        <v>1838800</v>
      </c>
      <c r="AT37" s="14">
        <v>9105808</v>
      </c>
      <c r="AU37" s="15">
        <v>76.326696874999996</v>
      </c>
      <c r="AV37" s="15">
        <v>78.91395</v>
      </c>
      <c r="AW37" s="15">
        <v>38.003946874999997</v>
      </c>
      <c r="AX37" s="15">
        <v>43.764465625</v>
      </c>
      <c r="AY37" s="15">
        <v>46.510212500000002</v>
      </c>
      <c r="AZ37" s="16">
        <v>2735.74</v>
      </c>
      <c r="BA37" s="16">
        <v>5864.39</v>
      </c>
      <c r="BB37" s="16">
        <v>175.03299999999999</v>
      </c>
      <c r="BC37" s="16">
        <v>122.245</v>
      </c>
      <c r="BE37" s="51">
        <f t="shared" si="12"/>
        <v>1.0838916315218781</v>
      </c>
      <c r="BF37" s="17">
        <f t="shared" si="13"/>
        <v>6.0982674649190174E-3</v>
      </c>
      <c r="BG37" s="17">
        <f t="shared" si="14"/>
        <v>6.4543124530693774E-3</v>
      </c>
      <c r="BH37" s="17"/>
      <c r="BJ37" s="51"/>
      <c r="BK37" s="51"/>
      <c r="BL37" s="51"/>
      <c r="BM37" s="51"/>
      <c r="BN37" s="51"/>
      <c r="BP37" s="51"/>
      <c r="BQ37" s="51"/>
      <c r="BR37" s="51"/>
      <c r="BS37" s="51"/>
      <c r="BT37" s="51"/>
    </row>
    <row r="38" spans="1:72" outlineLevel="1" x14ac:dyDescent="0.45">
      <c r="A38" s="18"/>
      <c r="B38" s="18" t="s">
        <v>80</v>
      </c>
      <c r="C38" s="19" t="s">
        <v>233</v>
      </c>
      <c r="D38" s="18">
        <v>333190689</v>
      </c>
      <c r="E38" s="19">
        <v>11</v>
      </c>
      <c r="F38" s="19">
        <v>32</v>
      </c>
      <c r="G38" s="19">
        <v>30</v>
      </c>
      <c r="I38" s="20">
        <f t="shared" si="0"/>
        <v>23.020612499999999</v>
      </c>
      <c r="J38" s="21">
        <f t="shared" si="1"/>
        <v>7.3697497591236713E-2</v>
      </c>
      <c r="K38" s="21">
        <f t="shared" si="2"/>
        <v>2.4418401439783331E-2</v>
      </c>
      <c r="L38" s="21">
        <f t="shared" si="3"/>
        <v>1.9799424827264607E-2</v>
      </c>
      <c r="M38" s="21">
        <f t="shared" si="4"/>
        <v>4.9279096151453379E-2</v>
      </c>
      <c r="N38" s="18">
        <f t="shared" si="5"/>
        <v>8135984</v>
      </c>
      <c r="O38" s="21">
        <v>16</v>
      </c>
      <c r="P38" s="22">
        <v>83963908</v>
      </c>
      <c r="Q38" s="22">
        <v>2623872.125</v>
      </c>
      <c r="R38" s="22">
        <v>48278.125</v>
      </c>
      <c r="S38" s="23">
        <v>24555320</v>
      </c>
      <c r="T38" s="23">
        <v>6596984</v>
      </c>
      <c r="U38" s="23">
        <v>1539000</v>
      </c>
      <c r="V38" s="23">
        <v>16419336</v>
      </c>
      <c r="W38" s="24">
        <v>77.418415624999994</v>
      </c>
      <c r="X38" s="24">
        <v>80.140518749999998</v>
      </c>
      <c r="Y38" s="24">
        <v>39.696712499999997</v>
      </c>
      <c r="Z38" s="24">
        <v>44.531153125000003</v>
      </c>
      <c r="AA38" s="24">
        <v>47.804796875000001</v>
      </c>
      <c r="AB38" s="25">
        <v>4109.07</v>
      </c>
      <c r="AC38" s="25">
        <v>10479.700000000001</v>
      </c>
      <c r="AD38" s="25">
        <v>185.49600000000001</v>
      </c>
      <c r="AE38" s="25">
        <v>116.152</v>
      </c>
      <c r="AG38" s="20">
        <f t="shared" si="6"/>
        <v>24.386782499999999</v>
      </c>
      <c r="AH38" s="21">
        <f t="shared" si="7"/>
        <v>7.8071113205687451E-2</v>
      </c>
      <c r="AI38" s="21">
        <f t="shared" si="8"/>
        <v>2.6475649804247683E-2</v>
      </c>
      <c r="AJ38" s="21">
        <f t="shared" si="9"/>
        <v>2.0956888144014134E-2</v>
      </c>
      <c r="AK38" s="21">
        <f t="shared" si="10"/>
        <v>5.1595463401439771E-2</v>
      </c>
      <c r="AL38" s="18">
        <f t="shared" si="11"/>
        <v>8821440</v>
      </c>
      <c r="AM38" s="21">
        <v>16</v>
      </c>
      <c r="AN38" s="22">
        <v>85441040</v>
      </c>
      <c r="AO38" s="22">
        <v>2670032.5</v>
      </c>
      <c r="AP38" s="22">
        <v>67154.78125</v>
      </c>
      <c r="AQ38" s="23">
        <v>26012568</v>
      </c>
      <c r="AR38" s="23">
        <v>6982640</v>
      </c>
      <c r="AS38" s="23">
        <v>1838800</v>
      </c>
      <c r="AT38" s="23">
        <v>17191128</v>
      </c>
      <c r="AU38" s="24">
        <v>77.392296875</v>
      </c>
      <c r="AV38" s="24">
        <v>80.108424999999997</v>
      </c>
      <c r="AW38" s="24">
        <v>39.774312500000001</v>
      </c>
      <c r="AX38" s="24">
        <v>44.546306250000001</v>
      </c>
      <c r="AY38" s="24">
        <v>47.844918749999998</v>
      </c>
      <c r="AZ38" s="25">
        <v>4242.55</v>
      </c>
      <c r="BA38" s="25">
        <v>10706.7</v>
      </c>
      <c r="BB38" s="25">
        <v>205.81</v>
      </c>
      <c r="BC38" s="25">
        <v>144.46199999999999</v>
      </c>
      <c r="BE38" s="50">
        <f t="shared" si="12"/>
        <v>1.0842499198621827</v>
      </c>
      <c r="BF38" s="26">
        <f t="shared" si="13"/>
        <v>6.7517249660831724E-3</v>
      </c>
      <c r="BG38" s="26">
        <f t="shared" si="14"/>
        <v>7.7893838238246582E-3</v>
      </c>
      <c r="BH38" s="26"/>
      <c r="BJ38" s="50"/>
      <c r="BK38" s="50"/>
      <c r="BL38" s="50"/>
      <c r="BM38" s="50"/>
      <c r="BN38" s="50"/>
      <c r="BP38" s="50"/>
      <c r="BQ38" s="50"/>
      <c r="BR38" s="50"/>
      <c r="BS38" s="50"/>
      <c r="BT38" s="50"/>
    </row>
    <row r="39" spans="1:72" outlineLevel="1" x14ac:dyDescent="0.45">
      <c r="A39" s="27"/>
      <c r="B39" s="27" t="s">
        <v>80</v>
      </c>
      <c r="C39" s="28" t="s">
        <v>234</v>
      </c>
      <c r="D39" s="27">
        <v>333190689</v>
      </c>
      <c r="E39" s="28">
        <v>11</v>
      </c>
      <c r="F39" s="28">
        <v>32</v>
      </c>
      <c r="G39" s="28">
        <v>30</v>
      </c>
      <c r="I39" s="29">
        <f t="shared" si="0"/>
        <v>42.391522500000001</v>
      </c>
      <c r="J39" s="30">
        <f t="shared" si="1"/>
        <v>0.13571094719276505</v>
      </c>
      <c r="K39" s="30">
        <f t="shared" si="2"/>
        <v>3.9490059099460607E-2</v>
      </c>
      <c r="L39" s="30">
        <f t="shared" si="3"/>
        <v>3.0117168130109423E-2</v>
      </c>
      <c r="M39" s="30">
        <f t="shared" si="4"/>
        <v>9.6220888093304438E-2</v>
      </c>
      <c r="N39" s="27">
        <f t="shared" si="5"/>
        <v>13157720</v>
      </c>
      <c r="O39" s="30">
        <v>16</v>
      </c>
      <c r="P39" s="31">
        <v>82025858</v>
      </c>
      <c r="Q39" s="31">
        <v>2563308.0625</v>
      </c>
      <c r="R39" s="31">
        <v>19366.5625</v>
      </c>
      <c r="S39" s="32">
        <v>45217624</v>
      </c>
      <c r="T39" s="32">
        <v>10034760</v>
      </c>
      <c r="U39" s="32">
        <v>3122960</v>
      </c>
      <c r="V39" s="32">
        <v>32059904</v>
      </c>
      <c r="W39" s="33">
        <v>78.318231249999997</v>
      </c>
      <c r="X39" s="33">
        <v>81.877509375000002</v>
      </c>
      <c r="Y39" s="33">
        <v>41.297906249999997</v>
      </c>
      <c r="Z39" s="33">
        <v>45.537006249999997</v>
      </c>
      <c r="AA39" s="33">
        <v>49.137196875000001</v>
      </c>
      <c r="AB39" s="34">
        <v>4113.72</v>
      </c>
      <c r="AC39" s="34">
        <v>11496.5</v>
      </c>
      <c r="AD39" s="34">
        <v>271.024</v>
      </c>
      <c r="AE39" s="34">
        <v>216.45599999999999</v>
      </c>
      <c r="AG39" s="29">
        <f t="shared" si="6"/>
        <v>44.713942500000002</v>
      </c>
      <c r="AH39" s="30">
        <f t="shared" si="7"/>
        <v>0.14314587284280325</v>
      </c>
      <c r="AI39" s="30">
        <f t="shared" si="8"/>
        <v>4.3548539857306758E-2</v>
      </c>
      <c r="AJ39" s="30">
        <f t="shared" si="9"/>
        <v>3.2044809031263173E-2</v>
      </c>
      <c r="AK39" s="30">
        <f t="shared" si="10"/>
        <v>9.9597332985496487E-2</v>
      </c>
      <c r="AL39" s="27">
        <f t="shared" si="11"/>
        <v>14509968</v>
      </c>
      <c r="AM39" s="30">
        <v>16</v>
      </c>
      <c r="AN39" s="31">
        <v>82938116</v>
      </c>
      <c r="AO39" s="31">
        <v>2591816.125</v>
      </c>
      <c r="AP39" s="31">
        <v>28561.34375</v>
      </c>
      <c r="AQ39" s="32">
        <v>47694872</v>
      </c>
      <c r="AR39" s="32">
        <v>10677032</v>
      </c>
      <c r="AS39" s="32">
        <v>3832936</v>
      </c>
      <c r="AT39" s="32">
        <v>33184904</v>
      </c>
      <c r="AU39" s="33">
        <v>78.483862500000001</v>
      </c>
      <c r="AV39" s="33">
        <v>81.856518750000006</v>
      </c>
      <c r="AW39" s="33">
        <v>41.351312499999999</v>
      </c>
      <c r="AX39" s="33">
        <v>45.562309374999998</v>
      </c>
      <c r="AY39" s="33">
        <v>49.184937499999997</v>
      </c>
      <c r="AZ39" s="34">
        <v>2998.4</v>
      </c>
      <c r="BA39" s="34">
        <v>8608.1200000000008</v>
      </c>
      <c r="BB39" s="34">
        <v>294.54599999999999</v>
      </c>
      <c r="BC39" s="34">
        <v>179.684</v>
      </c>
      <c r="BE39" s="35">
        <f t="shared" si="12"/>
        <v>1.1027722128149862</v>
      </c>
      <c r="BF39" s="36">
        <f t="shared" si="13"/>
        <v>3.4645182528954405E-3</v>
      </c>
      <c r="BG39" s="36">
        <f t="shared" si="14"/>
        <v>1.3238366029806214E-2</v>
      </c>
      <c r="BH39" s="36"/>
      <c r="BJ39" s="35"/>
      <c r="BK39" s="35"/>
      <c r="BL39" s="35"/>
      <c r="BM39" s="35"/>
      <c r="BN39" s="35"/>
      <c r="BP39" s="35"/>
      <c r="BQ39" s="35"/>
      <c r="BR39" s="35"/>
      <c r="BS39" s="35"/>
      <c r="BT39" s="35"/>
    </row>
    <row r="40" spans="1:72" x14ac:dyDescent="0.45">
      <c r="B40" s="47" t="s">
        <v>14</v>
      </c>
      <c r="J40" s="48">
        <f>AVERAGE(J5:J24)</f>
        <v>4.4297813858881062E-2</v>
      </c>
      <c r="K40" s="48">
        <f>AVERAGE(K5:K24)</f>
        <v>1.3934320314145566E-2</v>
      </c>
      <c r="L40" s="48">
        <f>AVERAGE(L5:L24)</f>
        <v>9.696269410246797E-3</v>
      </c>
      <c r="M40" s="48">
        <f>AVERAGE(M5:M24)</f>
        <v>3.0363493544735498E-2</v>
      </c>
      <c r="AH40" s="48">
        <f>AVERAGE(AH5:AH24)</f>
        <v>4.6602217804704124E-2</v>
      </c>
      <c r="AI40" s="48">
        <f>AVERAGE(AI5:AI24)</f>
        <v>1.5151396499425327E-2</v>
      </c>
      <c r="AJ40" s="48">
        <f>AVERAGE(AJ5:AJ24)</f>
        <v>1.021685864043816E-2</v>
      </c>
      <c r="AK40" s="48">
        <f>AVERAGE(AK5:AK24)</f>
        <v>3.1450821305278806E-2</v>
      </c>
      <c r="BE40" s="52">
        <f t="shared" si="12"/>
        <v>1.0873437783717541</v>
      </c>
      <c r="BH40" s="55">
        <f>AVERAGE(BH5:BH24)</f>
        <v>8.8538217807948155E-3</v>
      </c>
      <c r="BJ40" s="52">
        <f>AVERAGE(BJ5:BJ24)</f>
        <v>7.1882761748810142E-2</v>
      </c>
      <c r="BK40" s="52">
        <f>AVERAGE(BK5:BK24)</f>
        <v>8.6131704937243536E-2</v>
      </c>
      <c r="BL40" s="52">
        <f>AVERAGE(BL5:BL24)</f>
        <v>1.4157230048851221E-2</v>
      </c>
      <c r="BM40" s="52">
        <f>AVERAGE(BM5:BM24)</f>
        <v>2.3729088561241951E-2</v>
      </c>
      <c r="BN40" s="52">
        <f>AVERAGE(BN5:BN24)</f>
        <v>1.6088195793668492E-2</v>
      </c>
      <c r="BP40" s="52">
        <f>AVERAGE(BP5:BP24)</f>
        <v>4.2063069546144916E-2</v>
      </c>
      <c r="BQ40" s="52">
        <f>AVERAGE(BQ5:BQ24)</f>
        <v>6.2431699716493316E-2</v>
      </c>
      <c r="BR40" s="52">
        <f>AVERAGE(BR5:BR24)</f>
        <v>3.3119390366951107E-2</v>
      </c>
      <c r="BS40" s="52">
        <f>AVERAGE(BS5:BS24)</f>
        <v>3.946561938581844E-2</v>
      </c>
      <c r="BT40" s="52">
        <f>AVERAGE(BT5:BT24)</f>
        <v>3.2568118999390161E-2</v>
      </c>
    </row>
    <row r="41" spans="1:72" x14ac:dyDescent="0.45">
      <c r="B41" s="47" t="s">
        <v>15</v>
      </c>
      <c r="J41" s="48">
        <f>AVERAGE(J25:J29)</f>
        <v>7.9954906894468852E-2</v>
      </c>
      <c r="K41" s="48">
        <f>AVERAGE(K25:K29)</f>
        <v>1.2464595817739278E-2</v>
      </c>
      <c r="L41" s="48">
        <f>AVERAGE(L25:L29)</f>
        <v>9.1151281892310389E-3</v>
      </c>
      <c r="M41" s="48">
        <f>AVERAGE(M25:M29)</f>
        <v>6.7490311076729578E-2</v>
      </c>
      <c r="AH41" s="48">
        <f>AVERAGE(AH25:AH29)</f>
        <v>8.6747542941221154E-2</v>
      </c>
      <c r="AI41" s="48">
        <f>AVERAGE(AI25:AI29)</f>
        <v>1.4968627646922059E-2</v>
      </c>
      <c r="AJ41" s="48">
        <f>AVERAGE(AJ25:AJ29)</f>
        <v>1.0288433650553411E-2</v>
      </c>
      <c r="AK41" s="48">
        <f>AVERAGE(AK25:AK29)</f>
        <v>7.1778915294299098E-2</v>
      </c>
      <c r="BE41" s="52">
        <f t="shared" si="12"/>
        <v>1.2008915383857943</v>
      </c>
      <c r="BH41" s="55">
        <f>AVERAGE(BH25:BH29)</f>
        <v>1.7130998626559701E-2</v>
      </c>
      <c r="BJ41" s="52">
        <f>AVERAGE(BJ25:BJ29)</f>
        <v>0.18565496504628487</v>
      </c>
      <c r="BK41" s="52">
        <f>AVERAGE(BK25:BK29)</f>
        <v>0.21741808805889806</v>
      </c>
      <c r="BL41" s="52">
        <f>AVERAGE(BL25:BL29)</f>
        <v>2.4555792961530765E-2</v>
      </c>
      <c r="BM41" s="52">
        <f>AVERAGE(BM25:BM29)</f>
        <v>2.7205512945529531E-3</v>
      </c>
      <c r="BN41" s="52">
        <f>AVERAGE(BN25:BN29)</f>
        <v>-7.5438778858034627E-3</v>
      </c>
      <c r="BP41" s="52">
        <f>AVERAGE(BP25:BP29)</f>
        <v>9.4263752275978385E-2</v>
      </c>
      <c r="BQ41" s="52">
        <f>AVERAGE(BQ25:BQ29)</f>
        <v>0.13689998341576892</v>
      </c>
      <c r="BR41" s="52">
        <f>AVERAGE(BR25:BR29)</f>
        <v>5.1456626795534977E-2</v>
      </c>
      <c r="BS41" s="52">
        <f>AVERAGE(BS25:BS29)</f>
        <v>2.9547060810648063E-2</v>
      </c>
      <c r="BT41" s="52">
        <f>AVERAGE(BT25:BT29)</f>
        <v>2.0500044062699896E-2</v>
      </c>
    </row>
    <row r="42" spans="1:72" x14ac:dyDescent="0.45">
      <c r="B42" s="47" t="s">
        <v>16</v>
      </c>
      <c r="J42" s="48">
        <f>AVERAGE(J30:J39)</f>
        <v>5.517762733011794E-2</v>
      </c>
      <c r="K42" s="48">
        <f>AVERAGE(K30:K39)</f>
        <v>2.0098335575239341E-2</v>
      </c>
      <c r="L42" s="48">
        <f>AVERAGE(L30:L39)</f>
        <v>1.5038954141750719E-2</v>
      </c>
      <c r="M42" s="48">
        <f>AVERAGE(M30:M39)</f>
        <v>3.5079291754878603E-2</v>
      </c>
      <c r="AH42" s="48">
        <f>AVERAGE(AH30:AH39)</f>
        <v>5.8558242934297344E-2</v>
      </c>
      <c r="AI42" s="48">
        <f>AVERAGE(AI30:AI39)</f>
        <v>2.1961002030781406E-2</v>
      </c>
      <c r="AJ42" s="48">
        <f>AVERAGE(AJ30:AJ39)</f>
        <v>1.5910346160818097E-2</v>
      </c>
      <c r="AK42" s="48">
        <f>AVERAGE(AK30:AK39)</f>
        <v>3.6597240903515946E-2</v>
      </c>
      <c r="BE42" s="52">
        <f t="shared" si="12"/>
        <v>1.0926776472892026</v>
      </c>
      <c r="BH42" s="55">
        <f>AVERAGE(BH30:BH39)</f>
        <v>8.3136462969854719E-3</v>
      </c>
      <c r="BJ42" s="52">
        <f>AVERAGE(BJ30:BJ39)</f>
        <v>7.8659447916200498E-2</v>
      </c>
      <c r="BK42" s="52">
        <f>AVERAGE(BK30:BK39)</f>
        <v>9.5098881747622821E-2</v>
      </c>
      <c r="BL42" s="52">
        <f>AVERAGE(BL30:BL39)</f>
        <v>2.431275766501706E-2</v>
      </c>
      <c r="BM42" s="52">
        <f>AVERAGE(BM30:BM39)</f>
        <v>3.6011935463458489E-2</v>
      </c>
      <c r="BN42" s="52">
        <f>AVERAGE(BN30:BN39)</f>
        <v>3.217272537724114E-2</v>
      </c>
      <c r="BP42" s="52">
        <f>AVERAGE(BP30:BP39)</f>
        <v>5.4550953800172164E-2</v>
      </c>
      <c r="BQ42" s="52">
        <f>AVERAGE(BQ30:BQ39)</f>
        <v>7.7411115225097027E-2</v>
      </c>
      <c r="BR42" s="52">
        <f>AVERAGE(BR30:BR39)</f>
        <v>4.5307978393064441E-2</v>
      </c>
      <c r="BS42" s="52">
        <f>AVERAGE(BS30:BS39)</f>
        <v>5.2924965065435536E-2</v>
      </c>
      <c r="BT42" s="52">
        <f>AVERAGE(BT30:BT39)</f>
        <v>5.0816582771830987E-2</v>
      </c>
    </row>
    <row r="43" spans="1:72" collapsed="1" x14ac:dyDescent="0.45">
      <c r="B43" s="47" t="s">
        <v>17</v>
      </c>
      <c r="J43" s="48">
        <f>AVERAGE(J5:J39)</f>
        <v>5.2500202427175569E-2</v>
      </c>
      <c r="K43" s="48">
        <f>AVERAGE(K5:K39)</f>
        <v>1.5485506889257174E-2</v>
      </c>
      <c r="L43" s="48">
        <f>AVERAGE(L5:L39)</f>
        <v>1.1139730587674238E-2</v>
      </c>
      <c r="M43" s="48">
        <f>AVERAGE(M5:M39)</f>
        <v>3.7014695537918391E-2</v>
      </c>
      <c r="AH43" s="48">
        <f>AVERAGE(AH5:AH39)</f>
        <v>5.5753271432661761E-2</v>
      </c>
      <c r="AI43" s="48">
        <f>AVERAGE(AI5:AI39)</f>
        <v>1.7070888243740881E-2</v>
      </c>
      <c r="AJ43" s="48">
        <f>AVERAGE(AJ5:AJ39)</f>
        <v>1.1853794361991752E-2</v>
      </c>
      <c r="AK43" s="48">
        <f>AVERAGE(AK5:AK39)</f>
        <v>3.8682383188920873E-2</v>
      </c>
      <c r="BE43" s="52">
        <f t="shared" si="12"/>
        <v>1.1023783958653326</v>
      </c>
      <c r="BH43" s="55">
        <f>AVERAGE(BH5:BH39)</f>
        <v>9.8819397633871289E-3</v>
      </c>
      <c r="BJ43" s="52">
        <f>AVERAGE(BJ5:BJ39)</f>
        <v>9.0072129696275205E-2</v>
      </c>
      <c r="BK43" s="52">
        <f>AVERAGE(BK5:BK39)</f>
        <v>0.10744895304330256</v>
      </c>
      <c r="BL43" s="52">
        <f>AVERAGE(BL5:BL39)</f>
        <v>1.8544318355281395E-2</v>
      </c>
      <c r="BM43" s="52">
        <f>AVERAGE(BM5:BM39)</f>
        <v>2.4237253780919676E-2</v>
      </c>
      <c r="BN43" s="52">
        <f>AVERAGE(BN5:BN39)</f>
        <v>1.7307765149050396E-2</v>
      </c>
      <c r="BP43" s="52">
        <f>AVERAGE(BP5:BP39)</f>
        <v>5.3088276865843199E-2</v>
      </c>
      <c r="BQ43" s="52">
        <f>AVERAGE(BQ5:BQ39)</f>
        <v>7.7349858961705181E-2</v>
      </c>
      <c r="BR43" s="52">
        <f>AVERAGE(BR5:BR39)</f>
        <v>3.9221449292781187E-2</v>
      </c>
      <c r="BS43" s="52">
        <f>AVERAGE(BS5:BS39)</f>
        <v>4.1894209783541844E-2</v>
      </c>
      <c r="BT43" s="52">
        <f>AVERAGE(BT5:BT39)</f>
        <v>3.6057955086274643E-2</v>
      </c>
    </row>
    <row r="44" spans="1:72" hidden="1" outlineLevel="2" x14ac:dyDescent="0.45">
      <c r="A44" s="47" t="s">
        <v>237</v>
      </c>
      <c r="B44" s="47" t="s">
        <v>238</v>
      </c>
      <c r="AB44" s="49">
        <f>SUM(AB5:AB24,AB25:AB29,AB30:AB39)</f>
        <v>143617.81000000003</v>
      </c>
      <c r="AC44" s="49">
        <f>SUM(AC5:AC24,AC25:AC29,AC30:AC39)</f>
        <v>147738.09</v>
      </c>
      <c r="AD44" s="49">
        <f>SUM(AD5:AD24,AD25:AD29,AD30:AD39)</f>
        <v>4167.9250000000002</v>
      </c>
      <c r="AE44" s="49">
        <f>SUM(AE5:AE24,AE25:AE29,AE30:AE39)</f>
        <v>2112.2710000000002</v>
      </c>
      <c r="AZ44" s="49">
        <f>SUM(AZ5:AZ24,AZ25:AZ29,AZ30:AZ39)</f>
        <v>141040.55999999997</v>
      </c>
      <c r="BA44" s="49">
        <f>SUM(BA5:BA24,BA25:BA29,BA30:BA39)</f>
        <v>143726.43</v>
      </c>
      <c r="BB44" s="49">
        <f>SUM(BB5:BB24,BB25:BB29,BB30:BB39)</f>
        <v>4419.5120000000006</v>
      </c>
      <c r="BC44" s="49">
        <f>SUM(BC5:BC24,BC25:BC29,BC30:BC39)</f>
        <v>2273.3670000000002</v>
      </c>
    </row>
    <row r="45" spans="1:72" hidden="1" outlineLevel="2" x14ac:dyDescent="0.45">
      <c r="B45" s="47" t="s">
        <v>239</v>
      </c>
      <c r="AZ45" s="55">
        <f>AZ44/AB44</f>
        <v>0.98205480225607078</v>
      </c>
      <c r="BA45" s="55">
        <f>BA44/AC44</f>
        <v>0.97284613602355352</v>
      </c>
      <c r="BB45" s="55">
        <f>BB44/AD44</f>
        <v>1.0603626504795554</v>
      </c>
      <c r="BC45" s="55">
        <f>BC44/AE44</f>
        <v>1.0762667290324015</v>
      </c>
    </row>
    <row r="46" spans="1:72" hidden="1" outlineLevel="2" x14ac:dyDescent="0.45">
      <c r="B46" s="47" t="s">
        <v>240</v>
      </c>
      <c r="AB46" s="49">
        <f>GEOMEAN(AB5:AB24,AB25:AB29,AB30:AB39)</f>
        <v>3885.6140304755459</v>
      </c>
      <c r="AC46" s="49">
        <f>GEOMEAN(AC5:AC24,AC25:AC29,AC30:AC39)</f>
        <v>3385.1240305130195</v>
      </c>
      <c r="AD46" s="49">
        <f>GEOMEAN(AD5:AD24,AD25:AD29,AD30:AD39)</f>
        <v>100.41691518475201</v>
      </c>
      <c r="AE46" s="49">
        <f>GEOMEAN(AE5:AE24,AE25:AE29,AE30:AE39)</f>
        <v>47.513322527396042</v>
      </c>
      <c r="AZ46" s="49">
        <f>GEOMEAN(AZ5:AZ24,AZ25:AZ29,AZ30:AZ39)</f>
        <v>3790.1353124387001</v>
      </c>
      <c r="BA46" s="49">
        <f>GEOMEAN(BA5:BA24,BA25:BA29,BA30:BA39)</f>
        <v>3234.329327943502</v>
      </c>
      <c r="BB46" s="49">
        <f>GEOMEAN(BB5:BB24,BB25:BB29,BB30:BB39)</f>
        <v>112.91547233398927</v>
      </c>
      <c r="BC46" s="49">
        <f>GEOMEAN(BC5:BC24,BC25:BC29,BC30:BC39)</f>
        <v>52.409482499143003</v>
      </c>
    </row>
    <row r="47" spans="1:72" outlineLevel="2" collapsed="1" x14ac:dyDescent="0.45">
      <c r="B47" s="47" t="s">
        <v>241</v>
      </c>
      <c r="AZ47" s="55">
        <f>AZ46/AB46</f>
        <v>0.97542763710240143</v>
      </c>
      <c r="BA47" s="55">
        <f>BA46/AC46</f>
        <v>0.95545371418882263</v>
      </c>
      <c r="BB47" s="55">
        <f>BB46/AD46</f>
        <v>1.1244666511238848</v>
      </c>
      <c r="BC47" s="55">
        <f>BC46/AE46</f>
        <v>1.1030481496831515</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4.25" x14ac:dyDescent="0.45"/>
  <sheetData>
    <row r="1" spans="1:2" x14ac:dyDescent="0.45">
      <c r="A1" t="s">
        <v>242</v>
      </c>
      <c r="B1">
        <v>1</v>
      </c>
    </row>
    <row r="2" spans="1:2" x14ac:dyDescent="0.45">
      <c r="A2" t="s">
        <v>243</v>
      </c>
      <c r="B2">
        <v>2</v>
      </c>
    </row>
    <row r="3" spans="1:2" x14ac:dyDescent="0.45">
      <c r="A3" t="s">
        <v>244</v>
      </c>
      <c r="B3">
        <v>3</v>
      </c>
    </row>
    <row r="4" spans="1:2" x14ac:dyDescent="0.45">
      <c r="A4" t="s">
        <v>245</v>
      </c>
      <c r="B4">
        <v>4</v>
      </c>
    </row>
    <row r="5" spans="1:2" x14ac:dyDescent="0.45">
      <c r="A5" t="s">
        <v>246</v>
      </c>
      <c r="B5">
        <v>5</v>
      </c>
    </row>
    <row r="6" spans="1:2" x14ac:dyDescent="0.45">
      <c r="A6" t="s">
        <v>247</v>
      </c>
      <c r="B6">
        <v>6</v>
      </c>
    </row>
    <row r="7" spans="1:2" x14ac:dyDescent="0.45">
      <c r="A7" t="s">
        <v>248</v>
      </c>
      <c r="B7">
        <v>7</v>
      </c>
    </row>
    <row r="8" spans="1:2" x14ac:dyDescent="0.45">
      <c r="A8" t="s">
        <v>249</v>
      </c>
      <c r="B8">
        <v>9</v>
      </c>
    </row>
    <row r="9" spans="1:2" x14ac:dyDescent="0.45">
      <c r="A9" t="s">
        <v>250</v>
      </c>
      <c r="B9">
        <v>10</v>
      </c>
    </row>
    <row r="10" spans="1:2" x14ac:dyDescent="0.45">
      <c r="A10" t="s">
        <v>251</v>
      </c>
      <c r="B10">
        <v>11</v>
      </c>
    </row>
    <row r="11" spans="1:2" x14ac:dyDescent="0.45">
      <c r="A11" t="s">
        <v>252</v>
      </c>
      <c r="B11">
        <v>12</v>
      </c>
    </row>
    <row r="12" spans="1:2" x14ac:dyDescent="0.45">
      <c r="A12" t="s">
        <v>253</v>
      </c>
      <c r="B12">
        <v>13</v>
      </c>
    </row>
    <row r="13" spans="1:2" x14ac:dyDescent="0.45">
      <c r="A13" t="s">
        <v>254</v>
      </c>
      <c r="B13">
        <v>14</v>
      </c>
    </row>
    <row r="14" spans="1:2" x14ac:dyDescent="0.45">
      <c r="A14" t="s">
        <v>255</v>
      </c>
      <c r="B14">
        <v>15</v>
      </c>
    </row>
    <row r="15" spans="1:2" x14ac:dyDescent="0.45">
      <c r="A15" t="s">
        <v>256</v>
      </c>
      <c r="B15">
        <v>16</v>
      </c>
    </row>
    <row r="16" spans="1:2" x14ac:dyDescent="0.45">
      <c r="A16" t="s">
        <v>257</v>
      </c>
      <c r="B16">
        <v>17</v>
      </c>
    </row>
    <row r="17" spans="1:2" x14ac:dyDescent="0.45">
      <c r="A17" t="s">
        <v>258</v>
      </c>
      <c r="B17">
        <v>18</v>
      </c>
    </row>
    <row r="18" spans="1:2" x14ac:dyDescent="0.45">
      <c r="A18" t="s">
        <v>259</v>
      </c>
      <c r="B18">
        <v>19</v>
      </c>
    </row>
    <row r="19" spans="1:2" x14ac:dyDescent="0.45">
      <c r="A19" t="s">
        <v>260</v>
      </c>
      <c r="B19">
        <v>20</v>
      </c>
    </row>
    <row r="20" spans="1:2" x14ac:dyDescent="0.45">
      <c r="A20" t="s">
        <v>261</v>
      </c>
      <c r="B20">
        <v>21</v>
      </c>
    </row>
    <row r="21" spans="1:2" x14ac:dyDescent="0.45">
      <c r="A21" t="s">
        <v>262</v>
      </c>
      <c r="B21">
        <v>22</v>
      </c>
    </row>
    <row r="22" spans="1:2" x14ac:dyDescent="0.45">
      <c r="A22" t="s">
        <v>263</v>
      </c>
      <c r="B22">
        <v>23</v>
      </c>
    </row>
    <row r="23" spans="1:2" x14ac:dyDescent="0.45">
      <c r="A23" t="s">
        <v>264</v>
      </c>
      <c r="B23">
        <v>24</v>
      </c>
    </row>
    <row r="24" spans="1:2" x14ac:dyDescent="0.45">
      <c r="A24" t="s">
        <v>265</v>
      </c>
      <c r="B24">
        <v>25</v>
      </c>
    </row>
    <row r="25" spans="1:2" x14ac:dyDescent="0.45">
      <c r="A25" t="s">
        <v>266</v>
      </c>
      <c r="B25">
        <v>26</v>
      </c>
    </row>
    <row r="26" spans="1:2" x14ac:dyDescent="0.45">
      <c r="A26" t="s">
        <v>267</v>
      </c>
      <c r="B26">
        <v>27</v>
      </c>
    </row>
    <row r="27" spans="1:2" x14ac:dyDescent="0.45">
      <c r="A27" t="s">
        <v>268</v>
      </c>
      <c r="B27">
        <v>28</v>
      </c>
    </row>
    <row r="28" spans="1:2" x14ac:dyDescent="0.45">
      <c r="A28" t="s">
        <v>269</v>
      </c>
      <c r="B28">
        <v>29</v>
      </c>
    </row>
    <row r="29" spans="1:2" x14ac:dyDescent="0.45">
      <c r="A29" t="s">
        <v>270</v>
      </c>
      <c r="B29">
        <v>30</v>
      </c>
    </row>
    <row r="30" spans="1:2" x14ac:dyDescent="0.45">
      <c r="A30" t="s">
        <v>271</v>
      </c>
      <c r="B30">
        <v>31</v>
      </c>
    </row>
    <row r="31" spans="1:2" x14ac:dyDescent="0.45">
      <c r="A31" t="s">
        <v>272</v>
      </c>
      <c r="B31">
        <v>33</v>
      </c>
    </row>
    <row r="32" spans="1:2" x14ac:dyDescent="0.45">
      <c r="A32" t="s">
        <v>273</v>
      </c>
      <c r="B32">
        <v>34</v>
      </c>
    </row>
    <row r="33" spans="1:2" x14ac:dyDescent="0.45">
      <c r="A33" t="s">
        <v>274</v>
      </c>
      <c r="B33">
        <v>35</v>
      </c>
    </row>
    <row r="34" spans="1:2" x14ac:dyDescent="0.45">
      <c r="A34" t="s">
        <v>275</v>
      </c>
      <c r="B34">
        <v>36</v>
      </c>
    </row>
    <row r="35" spans="1:2" x14ac:dyDescent="0.45">
      <c r="A35" t="s">
        <v>276</v>
      </c>
      <c r="B35">
        <v>37</v>
      </c>
    </row>
    <row r="36" spans="1:2" x14ac:dyDescent="0.45">
      <c r="A36" t="s">
        <v>277</v>
      </c>
      <c r="B36">
        <v>38</v>
      </c>
    </row>
    <row r="37" spans="1:2" x14ac:dyDescent="0.45">
      <c r="A37" t="s">
        <v>278</v>
      </c>
      <c r="B37">
        <v>39</v>
      </c>
    </row>
    <row r="38" spans="1:2" x14ac:dyDescent="0.45">
      <c r="A38" t="s">
        <v>279</v>
      </c>
      <c r="B38">
        <v>40</v>
      </c>
    </row>
    <row r="39" spans="1:2" x14ac:dyDescent="0.45">
      <c r="A39" t="s">
        <v>280</v>
      </c>
      <c r="B39">
        <v>41</v>
      </c>
    </row>
    <row r="40" spans="1:2" x14ac:dyDescent="0.45">
      <c r="A40" t="s">
        <v>281</v>
      </c>
      <c r="B40">
        <v>42</v>
      </c>
    </row>
    <row r="41" spans="1:2" x14ac:dyDescent="0.45">
      <c r="A41" t="s">
        <v>282</v>
      </c>
      <c r="B41">
        <v>43</v>
      </c>
    </row>
    <row r="42" spans="1:2" x14ac:dyDescent="0.45">
      <c r="A42" t="s">
        <v>283</v>
      </c>
      <c r="B42">
        <v>44</v>
      </c>
    </row>
    <row r="43" spans="1:2" x14ac:dyDescent="0.45">
      <c r="A43" t="s">
        <v>284</v>
      </c>
      <c r="B43">
        <v>45</v>
      </c>
    </row>
    <row r="44" spans="1:2" x14ac:dyDescent="0.45">
      <c r="A44" t="s">
        <v>285</v>
      </c>
      <c r="B44">
        <v>46</v>
      </c>
    </row>
    <row r="45" spans="1:2" x14ac:dyDescent="0.45">
      <c r="A45" t="s">
        <v>286</v>
      </c>
      <c r="B45">
        <v>47</v>
      </c>
    </row>
    <row r="46" spans="1:2" x14ac:dyDescent="0.45">
      <c r="A46" t="s">
        <v>287</v>
      </c>
      <c r="B46">
        <v>48</v>
      </c>
    </row>
    <row r="47" spans="1:2" x14ac:dyDescent="0.45">
      <c r="A47" t="s">
        <v>288</v>
      </c>
      <c r="B47">
        <v>49</v>
      </c>
    </row>
    <row r="48" spans="1:2" x14ac:dyDescent="0.45">
      <c r="A48" t="s">
        <v>289</v>
      </c>
      <c r="B48">
        <v>50</v>
      </c>
    </row>
    <row r="49" spans="1:2" x14ac:dyDescent="0.45">
      <c r="A49" t="s">
        <v>290</v>
      </c>
      <c r="B49">
        <v>51</v>
      </c>
    </row>
    <row r="50" spans="1:2" x14ac:dyDescent="0.45">
      <c r="A50" t="s">
        <v>291</v>
      </c>
      <c r="B50">
        <v>52</v>
      </c>
    </row>
    <row r="51" spans="1:2" x14ac:dyDescent="0.45">
      <c r="A51" t="s">
        <v>292</v>
      </c>
      <c r="B51">
        <v>53</v>
      </c>
    </row>
    <row r="52" spans="1:2" x14ac:dyDescent="0.45">
      <c r="A52" t="s">
        <v>293</v>
      </c>
      <c r="B52">
        <v>54</v>
      </c>
    </row>
    <row r="53" spans="1:2" x14ac:dyDescent="0.45">
      <c r="A53" t="s">
        <v>294</v>
      </c>
      <c r="B53">
        <v>55</v>
      </c>
    </row>
    <row r="54" spans="1:2" x14ac:dyDescent="0.45">
      <c r="A54" t="s">
        <v>295</v>
      </c>
      <c r="B54">
        <v>57</v>
      </c>
    </row>
    <row r="55" spans="1:2" x14ac:dyDescent="0.45">
      <c r="A55" t="s">
        <v>296</v>
      </c>
      <c r="B55">
        <v>58</v>
      </c>
    </row>
    <row r="56" spans="1:2" x14ac:dyDescent="0.45">
      <c r="A56" t="s">
        <v>297</v>
      </c>
      <c r="B56">
        <v>59</v>
      </c>
    </row>
    <row r="57" spans="1:2" x14ac:dyDescent="0.45">
      <c r="A57" t="s">
        <v>298</v>
      </c>
      <c r="B57">
        <v>60</v>
      </c>
    </row>
    <row r="58" spans="1:2" x14ac:dyDescent="0.45">
      <c r="A58" t="s">
        <v>299</v>
      </c>
      <c r="B58">
        <v>62</v>
      </c>
    </row>
    <row r="59" spans="1:2" x14ac:dyDescent="0.45">
      <c r="A59" t="s">
        <v>300</v>
      </c>
      <c r="B59">
        <v>63</v>
      </c>
    </row>
    <row r="60" spans="1:2" x14ac:dyDescent="0.45">
      <c r="A60" t="s">
        <v>301</v>
      </c>
      <c r="B60">
        <v>64</v>
      </c>
    </row>
    <row r="61" spans="1:2" x14ac:dyDescent="0.45">
      <c r="A61" t="s">
        <v>302</v>
      </c>
      <c r="B61">
        <v>65</v>
      </c>
    </row>
    <row r="62" spans="1:2" x14ac:dyDescent="0.45">
      <c r="A62" t="s">
        <v>303</v>
      </c>
      <c r="B62">
        <v>66</v>
      </c>
    </row>
    <row r="63" spans="1:2" x14ac:dyDescent="0.45">
      <c r="A63" t="s">
        <v>304</v>
      </c>
      <c r="B63">
        <v>68</v>
      </c>
    </row>
    <row r="64" spans="1:2" x14ac:dyDescent="0.45">
      <c r="A64" t="s">
        <v>305</v>
      </c>
      <c r="B64">
        <v>69</v>
      </c>
    </row>
    <row r="65" spans="1:24" x14ac:dyDescent="0.45">
      <c r="A65" t="s">
        <v>306</v>
      </c>
      <c r="B65">
        <v>70</v>
      </c>
    </row>
    <row r="66" spans="1:24" x14ac:dyDescent="0.45">
      <c r="A66" t="s">
        <v>307</v>
      </c>
      <c r="B66">
        <v>71</v>
      </c>
    </row>
    <row r="67" spans="1:24" x14ac:dyDescent="0.45">
      <c r="A67" t="s">
        <v>308</v>
      </c>
      <c r="B67">
        <v>72</v>
      </c>
    </row>
    <row r="68" spans="1:24" x14ac:dyDescent="0.45">
      <c r="A68" t="s">
        <v>309</v>
      </c>
      <c r="B68" t="s">
        <v>310</v>
      </c>
    </row>
    <row r="69" spans="1:24" x14ac:dyDescent="0.45">
      <c r="A69" t="s">
        <v>311</v>
      </c>
      <c r="B69" t="s">
        <v>312</v>
      </c>
    </row>
    <row r="70" spans="1:24" x14ac:dyDescent="0.45">
      <c r="A70" t="s">
        <v>313</v>
      </c>
      <c r="B70" t="s">
        <v>314</v>
      </c>
    </row>
    <row r="71" spans="1:24" x14ac:dyDescent="0.45">
      <c r="A71" t="s">
        <v>315</v>
      </c>
      <c r="B71" t="s">
        <v>316</v>
      </c>
    </row>
    <row r="72" spans="1:24" x14ac:dyDescent="0.45">
      <c r="A72" t="s">
        <v>317</v>
      </c>
      <c r="B72" t="s">
        <v>318</v>
      </c>
    </row>
    <row r="73" spans="1:24" x14ac:dyDescent="0.45">
      <c r="A73" t="s">
        <v>319</v>
      </c>
      <c r="B73" t="s">
        <v>320</v>
      </c>
    </row>
    <row r="74" spans="1:24" x14ac:dyDescent="0.45">
      <c r="A74" t="s">
        <v>321</v>
      </c>
      <c r="B74" t="s">
        <v>322</v>
      </c>
    </row>
    <row r="75" spans="1:24" x14ac:dyDescent="0.45">
      <c r="A75" t="s">
        <v>323</v>
      </c>
      <c r="B75" t="s">
        <v>324</v>
      </c>
    </row>
    <row r="76" spans="1:24" x14ac:dyDescent="0.45">
      <c r="A76" t="s">
        <v>325</v>
      </c>
      <c r="B76" t="s">
        <v>326</v>
      </c>
    </row>
    <row r="77" spans="1:24" x14ac:dyDescent="0.4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45">
      <c r="A78" t="s">
        <v>328</v>
      </c>
      <c r="B78">
        <v>1</v>
      </c>
    </row>
    <row r="79" spans="1:24" x14ac:dyDescent="0.45">
      <c r="A79" t="s">
        <v>329</v>
      </c>
      <c r="B79">
        <v>2</v>
      </c>
    </row>
    <row r="80" spans="1:24" x14ac:dyDescent="0.45">
      <c r="A80" t="s">
        <v>330</v>
      </c>
      <c r="B80">
        <v>3</v>
      </c>
    </row>
    <row r="81" spans="1:2" x14ac:dyDescent="0.45">
      <c r="A81" t="s">
        <v>331</v>
      </c>
      <c r="B81">
        <v>4</v>
      </c>
    </row>
    <row r="82" spans="1:2" x14ac:dyDescent="0.45">
      <c r="A82" t="s">
        <v>332</v>
      </c>
      <c r="B82">
        <v>5</v>
      </c>
    </row>
    <row r="83" spans="1:2" x14ac:dyDescent="0.45">
      <c r="A83" t="s">
        <v>333</v>
      </c>
      <c r="B83">
        <v>6</v>
      </c>
    </row>
    <row r="84" spans="1:2" x14ac:dyDescent="0.45">
      <c r="A84" t="s">
        <v>334</v>
      </c>
      <c r="B84">
        <v>8</v>
      </c>
    </row>
    <row r="85" spans="1:2" x14ac:dyDescent="0.45">
      <c r="A85" t="s">
        <v>335</v>
      </c>
      <c r="B85">
        <v>9</v>
      </c>
    </row>
    <row r="86" spans="1:2" x14ac:dyDescent="0.45">
      <c r="A86" t="s">
        <v>336</v>
      </c>
      <c r="B86">
        <v>10</v>
      </c>
    </row>
    <row r="87" spans="1:2" x14ac:dyDescent="0.45">
      <c r="A87" t="s">
        <v>337</v>
      </c>
      <c r="B87">
        <v>11</v>
      </c>
    </row>
    <row r="88" spans="1:2" x14ac:dyDescent="0.45">
      <c r="A88" t="s">
        <v>338</v>
      </c>
      <c r="B88">
        <v>12</v>
      </c>
    </row>
    <row r="89" spans="1:2" x14ac:dyDescent="0.45">
      <c r="A89" t="s">
        <v>339</v>
      </c>
      <c r="B89">
        <v>13</v>
      </c>
    </row>
    <row r="90" spans="1:2" x14ac:dyDescent="0.45">
      <c r="A90" t="s">
        <v>340</v>
      </c>
      <c r="B90">
        <v>14</v>
      </c>
    </row>
    <row r="91" spans="1:2" x14ac:dyDescent="0.45">
      <c r="A91" t="s">
        <v>341</v>
      </c>
      <c r="B91">
        <v>15</v>
      </c>
    </row>
    <row r="92" spans="1:2" x14ac:dyDescent="0.45">
      <c r="A92" t="s">
        <v>342</v>
      </c>
      <c r="B92">
        <v>16</v>
      </c>
    </row>
    <row r="93" spans="1:2" x14ac:dyDescent="0.45">
      <c r="A93" t="s">
        <v>343</v>
      </c>
      <c r="B93">
        <v>17</v>
      </c>
    </row>
    <row r="94" spans="1:2" x14ac:dyDescent="0.45">
      <c r="A94" t="s">
        <v>344</v>
      </c>
      <c r="B94">
        <v>18</v>
      </c>
    </row>
    <row r="95" spans="1:2" x14ac:dyDescent="0.45">
      <c r="A95" t="s">
        <v>345</v>
      </c>
      <c r="B95">
        <v>19</v>
      </c>
    </row>
    <row r="96" spans="1:2" x14ac:dyDescent="0.45">
      <c r="A96" t="s">
        <v>346</v>
      </c>
      <c r="B96">
        <v>20</v>
      </c>
    </row>
    <row r="97" spans="1:2" x14ac:dyDescent="0.45">
      <c r="A97" t="s">
        <v>347</v>
      </c>
      <c r="B97">
        <v>21</v>
      </c>
    </row>
    <row r="98" spans="1:2" x14ac:dyDescent="0.45">
      <c r="A98" t="s">
        <v>348</v>
      </c>
      <c r="B98">
        <v>22</v>
      </c>
    </row>
    <row r="99" spans="1:2" x14ac:dyDescent="0.45">
      <c r="A99" t="s">
        <v>349</v>
      </c>
      <c r="B99">
        <v>23</v>
      </c>
    </row>
    <row r="100" spans="1:2" x14ac:dyDescent="0.45">
      <c r="A100" t="s">
        <v>350</v>
      </c>
      <c r="B100">
        <v>24</v>
      </c>
    </row>
    <row r="101" spans="1:2" x14ac:dyDescent="0.45">
      <c r="A101" t="s">
        <v>351</v>
      </c>
      <c r="B101">
        <v>25</v>
      </c>
    </row>
    <row r="102" spans="1:2" x14ac:dyDescent="0.45">
      <c r="A102" t="s">
        <v>352</v>
      </c>
      <c r="B102">
        <v>26</v>
      </c>
    </row>
    <row r="103" spans="1:2" x14ac:dyDescent="0.45">
      <c r="A103" t="s">
        <v>353</v>
      </c>
      <c r="B103">
        <v>27</v>
      </c>
    </row>
    <row r="104" spans="1:2" x14ac:dyDescent="0.45">
      <c r="A104" t="s">
        <v>354</v>
      </c>
      <c r="B104">
        <v>28</v>
      </c>
    </row>
    <row r="105" spans="1:2" x14ac:dyDescent="0.45">
      <c r="A105" t="s">
        <v>355</v>
      </c>
      <c r="B105">
        <v>29</v>
      </c>
    </row>
    <row r="106" spans="1:2" x14ac:dyDescent="0.45">
      <c r="A106" t="s">
        <v>356</v>
      </c>
      <c r="B106">
        <v>31</v>
      </c>
    </row>
    <row r="107" spans="1:2" x14ac:dyDescent="0.45">
      <c r="A107" t="s">
        <v>357</v>
      </c>
      <c r="B107">
        <v>32</v>
      </c>
    </row>
    <row r="108" spans="1:2" x14ac:dyDescent="0.45">
      <c r="A108" t="s">
        <v>358</v>
      </c>
      <c r="B108">
        <v>33</v>
      </c>
    </row>
    <row r="109" spans="1:2" x14ac:dyDescent="0.45">
      <c r="A109" t="s">
        <v>359</v>
      </c>
      <c r="B109">
        <v>34</v>
      </c>
    </row>
    <row r="110" spans="1:2" x14ac:dyDescent="0.45">
      <c r="A110" t="s">
        <v>360</v>
      </c>
      <c r="B110">
        <v>35</v>
      </c>
    </row>
    <row r="111" spans="1:2" x14ac:dyDescent="0.45">
      <c r="A111" t="s">
        <v>361</v>
      </c>
      <c r="B111">
        <v>36</v>
      </c>
    </row>
    <row r="112" spans="1:2" x14ac:dyDescent="0.45">
      <c r="A112" t="s">
        <v>362</v>
      </c>
      <c r="B112">
        <v>37</v>
      </c>
    </row>
    <row r="113" spans="1:2" x14ac:dyDescent="0.45">
      <c r="A113" t="s">
        <v>363</v>
      </c>
      <c r="B113">
        <v>38</v>
      </c>
    </row>
    <row r="114" spans="1:2" x14ac:dyDescent="0.45">
      <c r="A114" t="s">
        <v>364</v>
      </c>
      <c r="B114">
        <v>39</v>
      </c>
    </row>
    <row r="115" spans="1:2" x14ac:dyDescent="0.45">
      <c r="A115" t="s">
        <v>365</v>
      </c>
      <c r="B115">
        <v>40</v>
      </c>
    </row>
    <row r="116" spans="1:2" x14ac:dyDescent="0.45">
      <c r="A116" t="s">
        <v>366</v>
      </c>
      <c r="B116">
        <v>41</v>
      </c>
    </row>
    <row r="117" spans="1:2" x14ac:dyDescent="0.45">
      <c r="A117" t="s">
        <v>367</v>
      </c>
      <c r="B117">
        <v>42</v>
      </c>
    </row>
    <row r="118" spans="1:2" x14ac:dyDescent="0.45">
      <c r="A118" t="s">
        <v>368</v>
      </c>
      <c r="B118">
        <v>43</v>
      </c>
    </row>
    <row r="119" spans="1:2" x14ac:dyDescent="0.45">
      <c r="A119" t="s">
        <v>369</v>
      </c>
      <c r="B119">
        <v>44</v>
      </c>
    </row>
    <row r="120" spans="1:2" x14ac:dyDescent="0.45">
      <c r="A120" t="s">
        <v>370</v>
      </c>
      <c r="B120">
        <v>45</v>
      </c>
    </row>
    <row r="121" spans="1:2" x14ac:dyDescent="0.45">
      <c r="A121" t="s">
        <v>371</v>
      </c>
      <c r="B121">
        <v>46</v>
      </c>
    </row>
    <row r="122" spans="1:2" x14ac:dyDescent="0.45">
      <c r="A122" t="s">
        <v>372</v>
      </c>
      <c r="B122">
        <v>47</v>
      </c>
    </row>
    <row r="123" spans="1:2" x14ac:dyDescent="0.45">
      <c r="A123" t="s">
        <v>373</v>
      </c>
      <c r="B123">
        <v>48</v>
      </c>
    </row>
    <row r="124" spans="1:2" x14ac:dyDescent="0.45">
      <c r="A124" t="s">
        <v>374</v>
      </c>
      <c r="B124">
        <v>49</v>
      </c>
    </row>
    <row r="125" spans="1:2" x14ac:dyDescent="0.45">
      <c r="A125" t="s">
        <v>375</v>
      </c>
      <c r="B125">
        <v>50</v>
      </c>
    </row>
    <row r="126" spans="1:2" x14ac:dyDescent="0.45">
      <c r="A126" t="s">
        <v>376</v>
      </c>
      <c r="B126">
        <v>51</v>
      </c>
    </row>
    <row r="127" spans="1:2" x14ac:dyDescent="0.45">
      <c r="A127" t="s">
        <v>377</v>
      </c>
      <c r="B127">
        <v>52</v>
      </c>
    </row>
    <row r="128" spans="1:2" x14ac:dyDescent="0.45">
      <c r="A128" t="s">
        <v>378</v>
      </c>
      <c r="B128">
        <v>54</v>
      </c>
    </row>
    <row r="129" spans="1:23" x14ac:dyDescent="0.45">
      <c r="A129" t="s">
        <v>379</v>
      </c>
      <c r="B129">
        <v>55</v>
      </c>
    </row>
    <row r="130" spans="1:23" x14ac:dyDescent="0.45">
      <c r="A130" t="s">
        <v>380</v>
      </c>
      <c r="B130">
        <v>56</v>
      </c>
    </row>
    <row r="131" spans="1:23" x14ac:dyDescent="0.45">
      <c r="A131" t="s">
        <v>381</v>
      </c>
      <c r="B131">
        <v>57</v>
      </c>
    </row>
    <row r="132" spans="1:23" x14ac:dyDescent="0.45">
      <c r="A132" t="s">
        <v>382</v>
      </c>
      <c r="B132">
        <v>58</v>
      </c>
    </row>
    <row r="133" spans="1:23" x14ac:dyDescent="0.45">
      <c r="A133" t="s">
        <v>383</v>
      </c>
      <c r="B133">
        <v>59</v>
      </c>
    </row>
    <row r="134" spans="1:23" x14ac:dyDescent="0.45">
      <c r="A134" t="s">
        <v>384</v>
      </c>
      <c r="B134" t="s">
        <v>385</v>
      </c>
    </row>
    <row r="135" spans="1:23" x14ac:dyDescent="0.45">
      <c r="A135" t="s">
        <v>386</v>
      </c>
      <c r="B135" t="s">
        <v>387</v>
      </c>
    </row>
    <row r="136" spans="1:23" x14ac:dyDescent="0.45">
      <c r="A136" t="s">
        <v>388</v>
      </c>
      <c r="B136" t="s">
        <v>389</v>
      </c>
    </row>
    <row r="137" spans="1:23" x14ac:dyDescent="0.45">
      <c r="A137" t="s">
        <v>390</v>
      </c>
      <c r="B137" t="s">
        <v>391</v>
      </c>
    </row>
    <row r="138" spans="1:23" x14ac:dyDescent="0.45">
      <c r="A138" t="s">
        <v>392</v>
      </c>
      <c r="B138" t="s">
        <v>393</v>
      </c>
    </row>
    <row r="139" spans="1:23" x14ac:dyDescent="0.45">
      <c r="A139" t="s">
        <v>394</v>
      </c>
      <c r="B139" t="s">
        <v>395</v>
      </c>
    </row>
    <row r="140" spans="1:23" x14ac:dyDescent="0.45">
      <c r="A140" t="s">
        <v>396</v>
      </c>
      <c r="B140" t="s">
        <v>397</v>
      </c>
    </row>
    <row r="141" spans="1:23" x14ac:dyDescent="0.45">
      <c r="A141" t="s">
        <v>398</v>
      </c>
      <c r="B141" t="s">
        <v>399</v>
      </c>
    </row>
    <row r="142" spans="1:23" x14ac:dyDescent="0.45">
      <c r="A142" t="s">
        <v>400</v>
      </c>
      <c r="B142" t="s">
        <v>401</v>
      </c>
    </row>
    <row r="143" spans="1:23" x14ac:dyDescent="0.4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45">
      <c r="A144" t="s">
        <v>403</v>
      </c>
      <c r="B144">
        <v>1</v>
      </c>
    </row>
    <row r="145" spans="1:2" x14ac:dyDescent="0.45">
      <c r="A145" t="s">
        <v>404</v>
      </c>
      <c r="B145">
        <v>2</v>
      </c>
    </row>
    <row r="146" spans="1:2" x14ac:dyDescent="0.45">
      <c r="A146" t="s">
        <v>405</v>
      </c>
      <c r="B146">
        <v>3</v>
      </c>
    </row>
    <row r="147" spans="1:2" x14ac:dyDescent="0.45">
      <c r="A147" t="s">
        <v>406</v>
      </c>
      <c r="B147">
        <v>4</v>
      </c>
    </row>
    <row r="148" spans="1:2" x14ac:dyDescent="0.45">
      <c r="A148" t="s">
        <v>407</v>
      </c>
      <c r="B148">
        <v>5</v>
      </c>
    </row>
    <row r="149" spans="1:2" x14ac:dyDescent="0.45">
      <c r="A149" t="s">
        <v>408</v>
      </c>
      <c r="B149">
        <v>6</v>
      </c>
    </row>
    <row r="150" spans="1:2" x14ac:dyDescent="0.45">
      <c r="A150" t="s">
        <v>409</v>
      </c>
      <c r="B150">
        <v>8</v>
      </c>
    </row>
    <row r="151" spans="1:2" x14ac:dyDescent="0.45">
      <c r="A151" t="s">
        <v>410</v>
      </c>
      <c r="B151">
        <v>9</v>
      </c>
    </row>
    <row r="152" spans="1:2" x14ac:dyDescent="0.45">
      <c r="A152" t="s">
        <v>411</v>
      </c>
      <c r="B152">
        <v>10</v>
      </c>
    </row>
    <row r="153" spans="1:2" x14ac:dyDescent="0.45">
      <c r="A153" t="s">
        <v>412</v>
      </c>
      <c r="B153">
        <v>11</v>
      </c>
    </row>
    <row r="154" spans="1:2" x14ac:dyDescent="0.45">
      <c r="A154" t="s">
        <v>413</v>
      </c>
      <c r="B154">
        <v>12</v>
      </c>
    </row>
    <row r="155" spans="1:2" x14ac:dyDescent="0.45">
      <c r="A155" t="s">
        <v>414</v>
      </c>
      <c r="B155">
        <v>13</v>
      </c>
    </row>
    <row r="156" spans="1:2" x14ac:dyDescent="0.45">
      <c r="A156" t="s">
        <v>415</v>
      </c>
      <c r="B156">
        <v>14</v>
      </c>
    </row>
    <row r="157" spans="1:2" x14ac:dyDescent="0.45">
      <c r="A157" t="s">
        <v>416</v>
      </c>
      <c r="B157">
        <v>15</v>
      </c>
    </row>
    <row r="158" spans="1:2" x14ac:dyDescent="0.45">
      <c r="A158" t="s">
        <v>417</v>
      </c>
      <c r="B158">
        <v>16</v>
      </c>
    </row>
    <row r="159" spans="1:2" x14ac:dyDescent="0.45">
      <c r="A159" t="s">
        <v>418</v>
      </c>
      <c r="B159">
        <v>17</v>
      </c>
    </row>
    <row r="160" spans="1:2" x14ac:dyDescent="0.45">
      <c r="A160" t="s">
        <v>419</v>
      </c>
      <c r="B160">
        <v>18</v>
      </c>
    </row>
    <row r="161" spans="1:2" x14ac:dyDescent="0.45">
      <c r="A161" t="s">
        <v>420</v>
      </c>
      <c r="B161">
        <v>19</v>
      </c>
    </row>
    <row r="162" spans="1:2" x14ac:dyDescent="0.45">
      <c r="A162" t="s">
        <v>421</v>
      </c>
      <c r="B162">
        <v>20</v>
      </c>
    </row>
    <row r="163" spans="1:2" x14ac:dyDescent="0.45">
      <c r="A163" t="s">
        <v>422</v>
      </c>
      <c r="B163">
        <v>21</v>
      </c>
    </row>
    <row r="164" spans="1:2" x14ac:dyDescent="0.45">
      <c r="A164" t="s">
        <v>423</v>
      </c>
      <c r="B164">
        <v>22</v>
      </c>
    </row>
    <row r="165" spans="1:2" x14ac:dyDescent="0.45">
      <c r="A165" t="s">
        <v>424</v>
      </c>
      <c r="B165">
        <v>23</v>
      </c>
    </row>
    <row r="166" spans="1:2" x14ac:dyDescent="0.45">
      <c r="A166" t="s">
        <v>425</v>
      </c>
      <c r="B166">
        <v>24</v>
      </c>
    </row>
    <row r="167" spans="1:2" x14ac:dyDescent="0.45">
      <c r="A167" t="s">
        <v>426</v>
      </c>
      <c r="B167">
        <v>25</v>
      </c>
    </row>
    <row r="168" spans="1:2" x14ac:dyDescent="0.45">
      <c r="A168" t="s">
        <v>427</v>
      </c>
      <c r="B168">
        <v>26</v>
      </c>
    </row>
    <row r="169" spans="1:2" x14ac:dyDescent="0.45">
      <c r="A169" t="s">
        <v>428</v>
      </c>
      <c r="B169">
        <v>27</v>
      </c>
    </row>
    <row r="170" spans="1:2" x14ac:dyDescent="0.45">
      <c r="A170" t="s">
        <v>429</v>
      </c>
      <c r="B170">
        <v>28</v>
      </c>
    </row>
    <row r="171" spans="1:2" x14ac:dyDescent="0.45">
      <c r="A171" t="s">
        <v>430</v>
      </c>
      <c r="B171">
        <v>29</v>
      </c>
    </row>
    <row r="172" spans="1:2" x14ac:dyDescent="0.45">
      <c r="A172" t="s">
        <v>431</v>
      </c>
      <c r="B172">
        <v>31</v>
      </c>
    </row>
    <row r="173" spans="1:2" x14ac:dyDescent="0.45">
      <c r="A173" t="s">
        <v>432</v>
      </c>
      <c r="B173">
        <v>32</v>
      </c>
    </row>
    <row r="174" spans="1:2" x14ac:dyDescent="0.45">
      <c r="A174" t="s">
        <v>433</v>
      </c>
      <c r="B174">
        <v>33</v>
      </c>
    </row>
    <row r="175" spans="1:2" x14ac:dyDescent="0.45">
      <c r="A175" t="s">
        <v>434</v>
      </c>
      <c r="B175">
        <v>34</v>
      </c>
    </row>
    <row r="176" spans="1:2" x14ac:dyDescent="0.45">
      <c r="A176" t="s">
        <v>435</v>
      </c>
      <c r="B176">
        <v>35</v>
      </c>
    </row>
    <row r="177" spans="1:2" x14ac:dyDescent="0.45">
      <c r="A177" t="s">
        <v>436</v>
      </c>
      <c r="B177">
        <v>36</v>
      </c>
    </row>
    <row r="178" spans="1:2" x14ac:dyDescent="0.45">
      <c r="A178" t="s">
        <v>437</v>
      </c>
      <c r="B178">
        <v>37</v>
      </c>
    </row>
    <row r="179" spans="1:2" x14ac:dyDescent="0.45">
      <c r="A179" t="s">
        <v>438</v>
      </c>
      <c r="B179">
        <v>38</v>
      </c>
    </row>
    <row r="180" spans="1:2" x14ac:dyDescent="0.45">
      <c r="A180" t="s">
        <v>439</v>
      </c>
      <c r="B180">
        <v>39</v>
      </c>
    </row>
    <row r="181" spans="1:2" x14ac:dyDescent="0.45">
      <c r="A181" t="s">
        <v>440</v>
      </c>
      <c r="B181">
        <v>40</v>
      </c>
    </row>
    <row r="182" spans="1:2" x14ac:dyDescent="0.45">
      <c r="A182" t="s">
        <v>441</v>
      </c>
      <c r="B182">
        <v>41</v>
      </c>
    </row>
    <row r="183" spans="1:2" x14ac:dyDescent="0.45">
      <c r="A183" t="s">
        <v>442</v>
      </c>
      <c r="B183">
        <v>42</v>
      </c>
    </row>
    <row r="184" spans="1:2" x14ac:dyDescent="0.45">
      <c r="A184" t="s">
        <v>443</v>
      </c>
      <c r="B184">
        <v>43</v>
      </c>
    </row>
    <row r="185" spans="1:2" x14ac:dyDescent="0.45">
      <c r="A185" t="s">
        <v>444</v>
      </c>
      <c r="B185">
        <v>44</v>
      </c>
    </row>
    <row r="186" spans="1:2" x14ac:dyDescent="0.45">
      <c r="A186" t="s">
        <v>445</v>
      </c>
      <c r="B186">
        <v>45</v>
      </c>
    </row>
    <row r="187" spans="1:2" x14ac:dyDescent="0.45">
      <c r="A187" t="s">
        <v>446</v>
      </c>
      <c r="B187">
        <v>46</v>
      </c>
    </row>
    <row r="188" spans="1:2" x14ac:dyDescent="0.45">
      <c r="A188" t="s">
        <v>447</v>
      </c>
      <c r="B188">
        <v>47</v>
      </c>
    </row>
    <row r="189" spans="1:2" x14ac:dyDescent="0.45">
      <c r="A189" t="s">
        <v>448</v>
      </c>
      <c r="B189">
        <v>48</v>
      </c>
    </row>
    <row r="190" spans="1:2" x14ac:dyDescent="0.45">
      <c r="A190" t="s">
        <v>449</v>
      </c>
      <c r="B190">
        <v>49</v>
      </c>
    </row>
    <row r="191" spans="1:2" x14ac:dyDescent="0.45">
      <c r="A191" t="s">
        <v>450</v>
      </c>
      <c r="B191">
        <v>50</v>
      </c>
    </row>
    <row r="192" spans="1:2" x14ac:dyDescent="0.45">
      <c r="A192" t="s">
        <v>451</v>
      </c>
      <c r="B192">
        <v>51</v>
      </c>
    </row>
    <row r="193" spans="1:2" x14ac:dyDescent="0.45">
      <c r="A193" t="s">
        <v>452</v>
      </c>
      <c r="B193">
        <v>52</v>
      </c>
    </row>
    <row r="194" spans="1:2" x14ac:dyDescent="0.45">
      <c r="A194" t="s">
        <v>453</v>
      </c>
      <c r="B194">
        <v>54</v>
      </c>
    </row>
    <row r="195" spans="1:2" x14ac:dyDescent="0.45">
      <c r="A195" t="s">
        <v>454</v>
      </c>
      <c r="B195">
        <v>55</v>
      </c>
    </row>
    <row r="196" spans="1:2" x14ac:dyDescent="0.45">
      <c r="A196" t="s">
        <v>455</v>
      </c>
      <c r="B196">
        <v>56</v>
      </c>
    </row>
    <row r="197" spans="1:2" x14ac:dyDescent="0.45">
      <c r="A197" t="s">
        <v>456</v>
      </c>
      <c r="B197">
        <v>57</v>
      </c>
    </row>
    <row r="198" spans="1:2" x14ac:dyDescent="0.45">
      <c r="A198" t="s">
        <v>457</v>
      </c>
      <c r="B198">
        <v>58</v>
      </c>
    </row>
    <row r="199" spans="1:2" x14ac:dyDescent="0.45">
      <c r="A199" t="s">
        <v>458</v>
      </c>
      <c r="B199">
        <v>59</v>
      </c>
    </row>
    <row r="200" spans="1:2" x14ac:dyDescent="0.45">
      <c r="A200" t="s">
        <v>459</v>
      </c>
      <c r="B200" t="s">
        <v>460</v>
      </c>
    </row>
    <row r="201" spans="1:2" x14ac:dyDescent="0.45">
      <c r="A201" t="s">
        <v>461</v>
      </c>
      <c r="B201" t="s">
        <v>462</v>
      </c>
    </row>
    <row r="202" spans="1:2" x14ac:dyDescent="0.45">
      <c r="A202" t="s">
        <v>463</v>
      </c>
      <c r="B202" t="s">
        <v>464</v>
      </c>
    </row>
    <row r="203" spans="1:2" x14ac:dyDescent="0.45">
      <c r="A203" t="s">
        <v>465</v>
      </c>
      <c r="B203" t="s">
        <v>466</v>
      </c>
    </row>
    <row r="204" spans="1:2" x14ac:dyDescent="0.45">
      <c r="A204" t="s">
        <v>467</v>
      </c>
      <c r="B204" t="s">
        <v>468</v>
      </c>
    </row>
    <row r="205" spans="1:2" x14ac:dyDescent="0.45">
      <c r="A205" t="s">
        <v>469</v>
      </c>
      <c r="B205" t="s">
        <v>470</v>
      </c>
    </row>
    <row r="206" spans="1:2" x14ac:dyDescent="0.45">
      <c r="A206" t="s">
        <v>471</v>
      </c>
      <c r="B206" t="s">
        <v>472</v>
      </c>
    </row>
    <row r="207" spans="1:2" x14ac:dyDescent="0.45">
      <c r="A207" t="s">
        <v>473</v>
      </c>
      <c r="B207" t="s">
        <v>474</v>
      </c>
    </row>
    <row r="208" spans="1:2" x14ac:dyDescent="0.45">
      <c r="A208" t="s">
        <v>475</v>
      </c>
      <c r="B208" t="s">
        <v>476</v>
      </c>
    </row>
    <row r="209" spans="1:23" x14ac:dyDescent="0.4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45">
      <c r="A210" t="s">
        <v>478</v>
      </c>
      <c r="B210">
        <v>1</v>
      </c>
    </row>
    <row r="211" spans="1:23" x14ac:dyDescent="0.45">
      <c r="A211" t="s">
        <v>479</v>
      </c>
      <c r="B211">
        <v>2</v>
      </c>
    </row>
    <row r="212" spans="1:23" x14ac:dyDescent="0.45">
      <c r="A212" t="s">
        <v>480</v>
      </c>
      <c r="B212">
        <v>3</v>
      </c>
    </row>
    <row r="213" spans="1:23" x14ac:dyDescent="0.45">
      <c r="A213" t="s">
        <v>481</v>
      </c>
      <c r="B213">
        <v>4</v>
      </c>
    </row>
    <row r="214" spans="1:23" x14ac:dyDescent="0.45">
      <c r="A214" t="s">
        <v>482</v>
      </c>
      <c r="B214">
        <v>5</v>
      </c>
    </row>
    <row r="215" spans="1:23" x14ac:dyDescent="0.45">
      <c r="A215" t="s">
        <v>483</v>
      </c>
      <c r="B215">
        <v>6</v>
      </c>
    </row>
    <row r="216" spans="1:23" x14ac:dyDescent="0.45">
      <c r="A216" t="s">
        <v>484</v>
      </c>
      <c r="B216">
        <v>7</v>
      </c>
    </row>
    <row r="217" spans="1:23" x14ac:dyDescent="0.45">
      <c r="A217" t="s">
        <v>485</v>
      </c>
      <c r="B217">
        <v>9</v>
      </c>
    </row>
    <row r="218" spans="1:23" x14ac:dyDescent="0.45">
      <c r="A218" t="s">
        <v>486</v>
      </c>
      <c r="B218">
        <v>10</v>
      </c>
    </row>
    <row r="219" spans="1:23" x14ac:dyDescent="0.45">
      <c r="A219" t="s">
        <v>487</v>
      </c>
      <c r="B219">
        <v>11</v>
      </c>
    </row>
    <row r="220" spans="1:23" x14ac:dyDescent="0.45">
      <c r="A220" t="s">
        <v>488</v>
      </c>
      <c r="B220">
        <v>12</v>
      </c>
    </row>
    <row r="221" spans="1:23" x14ac:dyDescent="0.45">
      <c r="A221" t="s">
        <v>489</v>
      </c>
      <c r="B221">
        <v>13</v>
      </c>
    </row>
    <row r="222" spans="1:23" x14ac:dyDescent="0.45">
      <c r="A222" t="s">
        <v>490</v>
      </c>
      <c r="B222">
        <v>14</v>
      </c>
    </row>
    <row r="223" spans="1:23" x14ac:dyDescent="0.45">
      <c r="A223" t="s">
        <v>491</v>
      </c>
      <c r="B223">
        <v>15</v>
      </c>
    </row>
    <row r="224" spans="1:23" x14ac:dyDescent="0.45">
      <c r="A224" t="s">
        <v>492</v>
      </c>
      <c r="B224">
        <v>16</v>
      </c>
    </row>
    <row r="225" spans="1:2" x14ac:dyDescent="0.45">
      <c r="A225" t="s">
        <v>493</v>
      </c>
      <c r="B225">
        <v>17</v>
      </c>
    </row>
    <row r="226" spans="1:2" x14ac:dyDescent="0.45">
      <c r="A226" t="s">
        <v>494</v>
      </c>
      <c r="B226">
        <v>18</v>
      </c>
    </row>
    <row r="227" spans="1:2" x14ac:dyDescent="0.45">
      <c r="A227" t="s">
        <v>495</v>
      </c>
      <c r="B227">
        <v>19</v>
      </c>
    </row>
    <row r="228" spans="1:2" x14ac:dyDescent="0.45">
      <c r="A228" t="s">
        <v>496</v>
      </c>
      <c r="B228">
        <v>20</v>
      </c>
    </row>
    <row r="229" spans="1:2" x14ac:dyDescent="0.45">
      <c r="A229" t="s">
        <v>497</v>
      </c>
      <c r="B229">
        <v>21</v>
      </c>
    </row>
    <row r="230" spans="1:2" x14ac:dyDescent="0.45">
      <c r="A230" t="s">
        <v>498</v>
      </c>
      <c r="B230">
        <v>22</v>
      </c>
    </row>
    <row r="231" spans="1:2" x14ac:dyDescent="0.45">
      <c r="A231" t="s">
        <v>499</v>
      </c>
      <c r="B231">
        <v>23</v>
      </c>
    </row>
    <row r="232" spans="1:2" x14ac:dyDescent="0.45">
      <c r="A232" t="s">
        <v>500</v>
      </c>
      <c r="B232">
        <v>24</v>
      </c>
    </row>
    <row r="233" spans="1:2" x14ac:dyDescent="0.45">
      <c r="A233" t="s">
        <v>501</v>
      </c>
      <c r="B233">
        <v>25</v>
      </c>
    </row>
    <row r="234" spans="1:2" x14ac:dyDescent="0.45">
      <c r="A234" t="s">
        <v>502</v>
      </c>
      <c r="B234">
        <v>26</v>
      </c>
    </row>
    <row r="235" spans="1:2" x14ac:dyDescent="0.45">
      <c r="A235" t="s">
        <v>503</v>
      </c>
      <c r="B235">
        <v>27</v>
      </c>
    </row>
    <row r="236" spans="1:2" x14ac:dyDescent="0.45">
      <c r="A236" t="s">
        <v>504</v>
      </c>
      <c r="B236">
        <v>28</v>
      </c>
    </row>
    <row r="237" spans="1:2" x14ac:dyDescent="0.45">
      <c r="A237" t="s">
        <v>505</v>
      </c>
      <c r="B237">
        <v>29</v>
      </c>
    </row>
    <row r="238" spans="1:2" x14ac:dyDescent="0.45">
      <c r="A238" t="s">
        <v>506</v>
      </c>
      <c r="B238">
        <v>30</v>
      </c>
    </row>
    <row r="239" spans="1:2" x14ac:dyDescent="0.45">
      <c r="A239" t="s">
        <v>507</v>
      </c>
      <c r="B239">
        <v>31</v>
      </c>
    </row>
    <row r="240" spans="1:2" x14ac:dyDescent="0.45">
      <c r="A240" t="s">
        <v>508</v>
      </c>
      <c r="B240">
        <v>33</v>
      </c>
    </row>
    <row r="241" spans="1:2" x14ac:dyDescent="0.45">
      <c r="A241" t="s">
        <v>509</v>
      </c>
      <c r="B241">
        <v>34</v>
      </c>
    </row>
    <row r="242" spans="1:2" x14ac:dyDescent="0.45">
      <c r="A242" t="s">
        <v>510</v>
      </c>
      <c r="B242">
        <v>35</v>
      </c>
    </row>
    <row r="243" spans="1:2" x14ac:dyDescent="0.45">
      <c r="A243" t="s">
        <v>511</v>
      </c>
      <c r="B243">
        <v>36</v>
      </c>
    </row>
    <row r="244" spans="1:2" x14ac:dyDescent="0.45">
      <c r="A244" t="s">
        <v>512</v>
      </c>
      <c r="B244">
        <v>37</v>
      </c>
    </row>
    <row r="245" spans="1:2" x14ac:dyDescent="0.45">
      <c r="A245" t="s">
        <v>513</v>
      </c>
      <c r="B245">
        <v>38</v>
      </c>
    </row>
    <row r="246" spans="1:2" x14ac:dyDescent="0.45">
      <c r="A246" t="s">
        <v>514</v>
      </c>
      <c r="B246">
        <v>39</v>
      </c>
    </row>
    <row r="247" spans="1:2" x14ac:dyDescent="0.45">
      <c r="A247" t="s">
        <v>515</v>
      </c>
      <c r="B247">
        <v>40</v>
      </c>
    </row>
    <row r="248" spans="1:2" x14ac:dyDescent="0.45">
      <c r="A248" t="s">
        <v>516</v>
      </c>
      <c r="B248">
        <v>41</v>
      </c>
    </row>
    <row r="249" spans="1:2" x14ac:dyDescent="0.45">
      <c r="A249" t="s">
        <v>517</v>
      </c>
      <c r="B249">
        <v>42</v>
      </c>
    </row>
    <row r="250" spans="1:2" x14ac:dyDescent="0.45">
      <c r="A250" t="s">
        <v>518</v>
      </c>
      <c r="B250">
        <v>43</v>
      </c>
    </row>
    <row r="251" spans="1:2" x14ac:dyDescent="0.45">
      <c r="A251" t="s">
        <v>519</v>
      </c>
      <c r="B251">
        <v>44</v>
      </c>
    </row>
    <row r="252" spans="1:2" x14ac:dyDescent="0.45">
      <c r="A252" t="s">
        <v>520</v>
      </c>
      <c r="B252">
        <v>45</v>
      </c>
    </row>
    <row r="253" spans="1:2" x14ac:dyDescent="0.45">
      <c r="A253" t="s">
        <v>521</v>
      </c>
      <c r="B253">
        <v>46</v>
      </c>
    </row>
    <row r="254" spans="1:2" x14ac:dyDescent="0.45">
      <c r="A254" t="s">
        <v>522</v>
      </c>
      <c r="B254">
        <v>47</v>
      </c>
    </row>
    <row r="255" spans="1:2" x14ac:dyDescent="0.45">
      <c r="A255" t="s">
        <v>523</v>
      </c>
      <c r="B255">
        <v>48</v>
      </c>
    </row>
    <row r="256" spans="1:2" x14ac:dyDescent="0.45">
      <c r="A256" t="s">
        <v>524</v>
      </c>
      <c r="B256">
        <v>49</v>
      </c>
    </row>
    <row r="257" spans="1:2" x14ac:dyDescent="0.45">
      <c r="A257" t="s">
        <v>525</v>
      </c>
      <c r="B257">
        <v>50</v>
      </c>
    </row>
    <row r="258" spans="1:2" x14ac:dyDescent="0.45">
      <c r="A258" t="s">
        <v>526</v>
      </c>
      <c r="B258">
        <v>51</v>
      </c>
    </row>
    <row r="259" spans="1:2" x14ac:dyDescent="0.45">
      <c r="A259" t="s">
        <v>527</v>
      </c>
      <c r="B259">
        <v>52</v>
      </c>
    </row>
    <row r="260" spans="1:2" x14ac:dyDescent="0.45">
      <c r="A260" t="s">
        <v>528</v>
      </c>
      <c r="B260">
        <v>53</v>
      </c>
    </row>
    <row r="261" spans="1:2" x14ac:dyDescent="0.45">
      <c r="A261" t="s">
        <v>529</v>
      </c>
      <c r="B261">
        <v>54</v>
      </c>
    </row>
    <row r="262" spans="1:2" x14ac:dyDescent="0.45">
      <c r="A262" t="s">
        <v>530</v>
      </c>
      <c r="B262">
        <v>55</v>
      </c>
    </row>
    <row r="263" spans="1:2" x14ac:dyDescent="0.45">
      <c r="A263" t="s">
        <v>531</v>
      </c>
      <c r="B263">
        <v>57</v>
      </c>
    </row>
    <row r="264" spans="1:2" x14ac:dyDescent="0.45">
      <c r="A264" t="s">
        <v>532</v>
      </c>
      <c r="B264">
        <v>58</v>
      </c>
    </row>
    <row r="265" spans="1:2" x14ac:dyDescent="0.45">
      <c r="A265" t="s">
        <v>533</v>
      </c>
      <c r="B265">
        <v>59</v>
      </c>
    </row>
    <row r="266" spans="1:2" x14ac:dyDescent="0.45">
      <c r="A266" t="s">
        <v>534</v>
      </c>
      <c r="B266">
        <v>60</v>
      </c>
    </row>
    <row r="267" spans="1:2" x14ac:dyDescent="0.45">
      <c r="A267" t="s">
        <v>535</v>
      </c>
      <c r="B267">
        <v>62</v>
      </c>
    </row>
    <row r="268" spans="1:2" x14ac:dyDescent="0.45">
      <c r="A268" t="s">
        <v>536</v>
      </c>
      <c r="B268">
        <v>63</v>
      </c>
    </row>
    <row r="269" spans="1:2" x14ac:dyDescent="0.45">
      <c r="A269" t="s">
        <v>537</v>
      </c>
      <c r="B269">
        <v>64</v>
      </c>
    </row>
    <row r="270" spans="1:2" x14ac:dyDescent="0.45">
      <c r="A270" t="s">
        <v>538</v>
      </c>
      <c r="B270">
        <v>65</v>
      </c>
    </row>
    <row r="271" spans="1:2" x14ac:dyDescent="0.45">
      <c r="A271" t="s">
        <v>539</v>
      </c>
      <c r="B271">
        <v>66</v>
      </c>
    </row>
    <row r="272" spans="1:2" x14ac:dyDescent="0.45">
      <c r="A272" t="s">
        <v>540</v>
      </c>
      <c r="B272">
        <v>68</v>
      </c>
    </row>
    <row r="273" spans="1:24" x14ac:dyDescent="0.45">
      <c r="A273" t="s">
        <v>541</v>
      </c>
      <c r="B273">
        <v>69</v>
      </c>
    </row>
    <row r="274" spans="1:24" x14ac:dyDescent="0.45">
      <c r="A274" t="s">
        <v>542</v>
      </c>
      <c r="B274">
        <v>70</v>
      </c>
    </row>
    <row r="275" spans="1:24" x14ac:dyDescent="0.45">
      <c r="A275" t="s">
        <v>543</v>
      </c>
      <c r="B275">
        <v>71</v>
      </c>
    </row>
    <row r="276" spans="1:24" x14ac:dyDescent="0.45">
      <c r="A276" t="s">
        <v>544</v>
      </c>
      <c r="B276">
        <v>72</v>
      </c>
    </row>
    <row r="277" spans="1:24" x14ac:dyDescent="0.45">
      <c r="A277" t="s">
        <v>545</v>
      </c>
      <c r="B277" t="s">
        <v>546</v>
      </c>
    </row>
    <row r="278" spans="1:24" x14ac:dyDescent="0.45">
      <c r="A278" t="s">
        <v>547</v>
      </c>
      <c r="B278" t="s">
        <v>548</v>
      </c>
    </row>
    <row r="279" spans="1:24" x14ac:dyDescent="0.45">
      <c r="A279" t="s">
        <v>549</v>
      </c>
      <c r="B279" t="s">
        <v>550</v>
      </c>
    </row>
    <row r="280" spans="1:24" x14ac:dyDescent="0.45">
      <c r="A280" t="s">
        <v>551</v>
      </c>
      <c r="B280" t="s">
        <v>552</v>
      </c>
    </row>
    <row r="281" spans="1:24" x14ac:dyDescent="0.45">
      <c r="A281" t="s">
        <v>553</v>
      </c>
      <c r="B281" t="s">
        <v>554</v>
      </c>
    </row>
    <row r="282" spans="1:24" x14ac:dyDescent="0.45">
      <c r="A282" t="s">
        <v>555</v>
      </c>
      <c r="B282" t="s">
        <v>556</v>
      </c>
    </row>
    <row r="283" spans="1:24" x14ac:dyDescent="0.45">
      <c r="A283" t="s">
        <v>557</v>
      </c>
      <c r="B283" t="s">
        <v>558</v>
      </c>
    </row>
    <row r="284" spans="1:24" x14ac:dyDescent="0.45">
      <c r="A284" t="s">
        <v>559</v>
      </c>
      <c r="B284" t="s">
        <v>560</v>
      </c>
    </row>
    <row r="285" spans="1:24" x14ac:dyDescent="0.45">
      <c r="A285" t="s">
        <v>561</v>
      </c>
      <c r="B285" t="s">
        <v>562</v>
      </c>
    </row>
    <row r="286" spans="1:24" x14ac:dyDescent="0.4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Z11" sqref="AM5:AZ11"/>
    </sheetView>
  </sheetViews>
  <sheetFormatPr defaultRowHeight="14.25" outlineLevelRow="2" x14ac:dyDescent="0.45"/>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45">
      <c r="A1" s="73" t="s">
        <v>564</v>
      </c>
      <c r="B1" s="59"/>
      <c r="C1" s="59"/>
      <c r="D1" s="59"/>
      <c r="E1" s="59"/>
      <c r="F1" s="59"/>
      <c r="H1" s="58" t="str">
        <f>Summary!$C$1</f>
        <v>Master+r7.0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4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8" customHeight="1" x14ac:dyDescent="0.4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4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45">
      <c r="A5" s="54" t="s">
        <v>229</v>
      </c>
      <c r="B5" s="54" t="s">
        <v>49</v>
      </c>
      <c r="C5" s="54">
        <v>238146391</v>
      </c>
      <c r="D5" s="10">
        <v>10</v>
      </c>
      <c r="E5" s="10">
        <v>32</v>
      </c>
      <c r="F5" s="10">
        <v>30</v>
      </c>
      <c r="H5" s="17">
        <f t="shared" ref="H5:H11" si="0">IF(ISBLANK(Q5),"·",Q5/(C5*(D5*3+IF(AND(ISNUMBER(T5),T5&gt;0),24,0))))</f>
        <v>1.7246264730099159E-2</v>
      </c>
      <c r="I5" s="11">
        <f t="shared" ref="I5:I11" si="1">IF(OR(ISBLANK(Q5),ISBLANK(F5)),"·",Q5*F5/E5/1000000)</f>
        <v>207.923745</v>
      </c>
      <c r="J5" s="12">
        <f t="shared" ref="J5:J11" si="2">IF(ISBLANK(Q5),"·",Q5/C5)</f>
        <v>0.93129829542535458</v>
      </c>
      <c r="K5" s="12">
        <f t="shared" ref="K5:K11" si="3">IF(N5="","·",N5/C5)</f>
        <v>0.14563999838233954</v>
      </c>
      <c r="L5" s="12">
        <f t="shared" ref="L5:L11" si="4">IF(R5="","·",R5/C5)</f>
        <v>0.13670905472592276</v>
      </c>
      <c r="M5" s="12">
        <f t="shared" ref="M5:M11" si="5">IF(ISBLANK(T5),"·",T5/C5)</f>
        <v>0.78565829704301504</v>
      </c>
      <c r="N5" s="54">
        <f t="shared" ref="N5:N11" si="6">IF(OR(ISBLANK(R5),ISBLANK(S5)),"",R5+S5)</f>
        <v>34683640</v>
      </c>
      <c r="O5" s="12">
        <v>16</v>
      </c>
      <c r="P5" s="13">
        <v>24964341</v>
      </c>
      <c r="Q5" s="14">
        <v>221785328</v>
      </c>
      <c r="R5" s="14">
        <v>32556768</v>
      </c>
      <c r="S5" s="14">
        <v>2126872</v>
      </c>
      <c r="T5" s="14">
        <v>187101688</v>
      </c>
      <c r="U5" s="15" t="s">
        <v>571</v>
      </c>
      <c r="V5" s="15" t="s">
        <v>571</v>
      </c>
      <c r="W5" s="15" t="s">
        <v>571</v>
      </c>
      <c r="X5" s="15" t="s">
        <v>571</v>
      </c>
      <c r="Y5" s="15" t="s">
        <v>571</v>
      </c>
      <c r="Z5" s="16">
        <v>2774.65</v>
      </c>
      <c r="AA5" s="16">
        <v>4254.18</v>
      </c>
      <c r="AB5" s="16">
        <v>3.5830000000000002</v>
      </c>
      <c r="AC5" s="16">
        <v>18.701000000000001</v>
      </c>
      <c r="AE5" s="17">
        <f t="shared" ref="AE5:AE11" si="7">IF(ISBLANK(Q5),"·",Q5/(C5*(D5*3+IF(AND(ISNUMBER(T5),T5&gt;0),24,0))))</f>
        <v>1.7246264730099159E-2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45">
      <c r="A6" s="18"/>
      <c r="B6" s="18" t="s">
        <v>57</v>
      </c>
      <c r="C6" s="18">
        <v>218121242</v>
      </c>
      <c r="D6" s="19">
        <v>10</v>
      </c>
      <c r="E6" s="19">
        <v>32</v>
      </c>
      <c r="F6" s="19">
        <v>30</v>
      </c>
      <c r="H6" s="26">
        <f t="shared" si="0"/>
        <v>2.4546267577049512E-2</v>
      </c>
      <c r="I6" s="20">
        <f t="shared" si="1"/>
        <v>271.04940749999997</v>
      </c>
      <c r="J6" s="21">
        <f t="shared" si="2"/>
        <v>1.3254984491606736</v>
      </c>
      <c r="K6" s="21">
        <f t="shared" si="3"/>
        <v>0.17699316052858347</v>
      </c>
      <c r="L6" s="21">
        <f t="shared" si="4"/>
        <v>0.16167694478834849</v>
      </c>
      <c r="M6" s="21">
        <f t="shared" si="5"/>
        <v>1.1485052886320901</v>
      </c>
      <c r="N6" s="18">
        <f t="shared" si="6"/>
        <v>38605968</v>
      </c>
      <c r="O6" s="21">
        <v>16</v>
      </c>
      <c r="P6" s="22">
        <v>22654789</v>
      </c>
      <c r="Q6" s="23">
        <v>289119368</v>
      </c>
      <c r="R6" s="23">
        <v>35265176</v>
      </c>
      <c r="S6" s="23">
        <v>3340792</v>
      </c>
      <c r="T6" s="23">
        <v>250513400</v>
      </c>
      <c r="U6" s="24" t="s">
        <v>571</v>
      </c>
      <c r="V6" s="24" t="s">
        <v>571</v>
      </c>
      <c r="W6" s="24" t="s">
        <v>571</v>
      </c>
      <c r="X6" s="24" t="s">
        <v>571</v>
      </c>
      <c r="Y6" s="24" t="s">
        <v>571</v>
      </c>
      <c r="Z6" s="25">
        <v>2526.75</v>
      </c>
      <c r="AA6" s="25">
        <v>4340.82</v>
      </c>
      <c r="AB6" s="25">
        <v>3.4420000000000002</v>
      </c>
      <c r="AC6" s="25">
        <v>20.407</v>
      </c>
      <c r="AE6" s="26">
        <f t="shared" si="7"/>
        <v>2.4546267577049512E-2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45">
      <c r="A7" s="54"/>
      <c r="B7" s="54" t="s">
        <v>62</v>
      </c>
      <c r="C7" s="54">
        <v>322589704</v>
      </c>
      <c r="D7" s="10">
        <v>10</v>
      </c>
      <c r="E7" s="10">
        <v>32</v>
      </c>
      <c r="F7" s="10">
        <v>30</v>
      </c>
      <c r="H7" s="17">
        <f t="shared" si="0"/>
        <v>1.9382873445357721E-2</v>
      </c>
      <c r="I7" s="11">
        <f t="shared" si="1"/>
        <v>316.54371750000001</v>
      </c>
      <c r="J7" s="12">
        <f t="shared" si="2"/>
        <v>1.046675166049317</v>
      </c>
      <c r="K7" s="12">
        <f t="shared" si="3"/>
        <v>0.1733904067812406</v>
      </c>
      <c r="L7" s="12">
        <f t="shared" si="4"/>
        <v>0.16060016596189938</v>
      </c>
      <c r="M7" s="12">
        <f t="shared" si="5"/>
        <v>0.87328475926807636</v>
      </c>
      <c r="N7" s="54">
        <f t="shared" si="6"/>
        <v>55933960</v>
      </c>
      <c r="O7" s="12">
        <v>16</v>
      </c>
      <c r="P7" s="13">
        <v>33947718</v>
      </c>
      <c r="Q7" s="14">
        <v>337646632</v>
      </c>
      <c r="R7" s="14">
        <v>51807960</v>
      </c>
      <c r="S7" s="14">
        <v>4126000</v>
      </c>
      <c r="T7" s="14">
        <v>281712672</v>
      </c>
      <c r="U7" s="15" t="s">
        <v>571</v>
      </c>
      <c r="V7" s="15" t="s">
        <v>571</v>
      </c>
      <c r="W7" s="15" t="s">
        <v>571</v>
      </c>
      <c r="X7" s="15" t="s">
        <v>571</v>
      </c>
      <c r="Y7" s="15" t="s">
        <v>571</v>
      </c>
      <c r="Z7" s="16">
        <v>3679.12</v>
      </c>
      <c r="AA7" s="16">
        <v>5763.1</v>
      </c>
      <c r="AB7" s="16">
        <v>4.88</v>
      </c>
      <c r="AC7" s="16">
        <v>22.954000000000001</v>
      </c>
      <c r="AE7" s="17">
        <f t="shared" si="7"/>
        <v>1.9382873445357721E-2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45">
      <c r="A8" s="37"/>
      <c r="B8" s="37" t="s">
        <v>68</v>
      </c>
      <c r="C8" s="37">
        <v>250602891</v>
      </c>
      <c r="D8" s="38">
        <v>10</v>
      </c>
      <c r="E8" s="38">
        <v>32</v>
      </c>
      <c r="F8" s="38">
        <v>50</v>
      </c>
      <c r="H8" s="46">
        <f t="shared" si="0"/>
        <v>1.9264459855466445E-2</v>
      </c>
      <c r="I8" s="39">
        <f t="shared" si="1"/>
        <v>407.33966249999997</v>
      </c>
      <c r="J8" s="40">
        <f t="shared" si="2"/>
        <v>1.040280832195188</v>
      </c>
      <c r="K8" s="40">
        <f t="shared" si="3"/>
        <v>0.16371105631020036</v>
      </c>
      <c r="L8" s="40">
        <f t="shared" si="4"/>
        <v>0.14309820551910551</v>
      </c>
      <c r="M8" s="40">
        <f t="shared" si="5"/>
        <v>0.87656977588498775</v>
      </c>
      <c r="N8" s="37">
        <f t="shared" si="6"/>
        <v>41026464</v>
      </c>
      <c r="O8" s="40">
        <v>16</v>
      </c>
      <c r="P8" s="41">
        <v>32209643</v>
      </c>
      <c r="Q8" s="42">
        <v>260697384</v>
      </c>
      <c r="R8" s="42">
        <v>35860824</v>
      </c>
      <c r="S8" s="42">
        <v>5165640</v>
      </c>
      <c r="T8" s="42">
        <v>219670920</v>
      </c>
      <c r="U8" s="43" t="s">
        <v>571</v>
      </c>
      <c r="V8" s="43" t="s">
        <v>571</v>
      </c>
      <c r="W8" s="43" t="s">
        <v>571</v>
      </c>
      <c r="X8" s="43" t="s">
        <v>571</v>
      </c>
      <c r="Y8" s="43" t="s">
        <v>571</v>
      </c>
      <c r="Z8" s="44">
        <v>3575.41</v>
      </c>
      <c r="AA8" s="44">
        <v>4561.07</v>
      </c>
      <c r="AB8" s="44">
        <v>4.33</v>
      </c>
      <c r="AC8" s="44">
        <v>21.745000000000001</v>
      </c>
      <c r="AE8" s="46">
        <f t="shared" si="7"/>
        <v>1.9264459855466445E-2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45">
      <c r="A9" s="27" t="s">
        <v>235</v>
      </c>
      <c r="B9" s="27" t="s">
        <v>71</v>
      </c>
      <c r="C9" s="27">
        <v>250294582</v>
      </c>
      <c r="D9" s="28">
        <v>10</v>
      </c>
      <c r="E9" s="28">
        <v>32</v>
      </c>
      <c r="F9" s="28">
        <v>30</v>
      </c>
      <c r="H9" s="36">
        <f t="shared" si="0"/>
        <v>2.7932178879673222E-2</v>
      </c>
      <c r="I9" s="29">
        <f t="shared" si="1"/>
        <v>353.93319750000001</v>
      </c>
      <c r="J9" s="30">
        <f t="shared" si="2"/>
        <v>1.5083376595023539</v>
      </c>
      <c r="K9" s="30">
        <f t="shared" si="3"/>
        <v>0.15215971394858238</v>
      </c>
      <c r="L9" s="30">
        <f t="shared" si="4"/>
        <v>0.14248046328066341</v>
      </c>
      <c r="M9" s="30">
        <f t="shared" si="5"/>
        <v>1.3561779455537715</v>
      </c>
      <c r="N9" s="27">
        <f t="shared" si="6"/>
        <v>38084752</v>
      </c>
      <c r="O9" s="30">
        <v>16</v>
      </c>
      <c r="P9" s="31">
        <v>25312408</v>
      </c>
      <c r="Q9" s="32">
        <v>377528744</v>
      </c>
      <c r="R9" s="32">
        <v>35662088</v>
      </c>
      <c r="S9" s="32">
        <v>2422664</v>
      </c>
      <c r="T9" s="32">
        <v>339443992</v>
      </c>
      <c r="U9" s="33" t="s">
        <v>571</v>
      </c>
      <c r="V9" s="33" t="s">
        <v>571</v>
      </c>
      <c r="W9" s="33" t="s">
        <v>571</v>
      </c>
      <c r="X9" s="33" t="s">
        <v>571</v>
      </c>
      <c r="Y9" s="33" t="s">
        <v>571</v>
      </c>
      <c r="Z9" s="34">
        <v>1179.9000000000001</v>
      </c>
      <c r="AA9" s="34">
        <v>4869.26</v>
      </c>
      <c r="AB9" s="34">
        <v>3.653</v>
      </c>
      <c r="AC9" s="34">
        <v>22.413</v>
      </c>
      <c r="AE9" s="36">
        <f t="shared" si="7"/>
        <v>2.7932178879673222E-2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45">
      <c r="A10" s="18" t="s">
        <v>236</v>
      </c>
      <c r="B10" s="18" t="s">
        <v>75</v>
      </c>
      <c r="C10" s="18">
        <v>375422539</v>
      </c>
      <c r="D10" s="19">
        <v>11</v>
      </c>
      <c r="E10" s="19">
        <v>32</v>
      </c>
      <c r="F10" s="19">
        <v>30</v>
      </c>
      <c r="H10" s="26">
        <f t="shared" si="0"/>
        <v>4.2419744383943012E-2</v>
      </c>
      <c r="I10" s="20">
        <f t="shared" si="1"/>
        <v>851.00972249999995</v>
      </c>
      <c r="J10" s="21">
        <f t="shared" si="2"/>
        <v>2.4179254298847517</v>
      </c>
      <c r="K10" s="21">
        <f t="shared" si="3"/>
        <v>0.27551935553874668</v>
      </c>
      <c r="L10" s="21">
        <f t="shared" si="4"/>
        <v>0.26326304292561403</v>
      </c>
      <c r="M10" s="21">
        <f t="shared" si="5"/>
        <v>2.1424060743460052</v>
      </c>
      <c r="N10" s="18">
        <f t="shared" si="6"/>
        <v>103436176</v>
      </c>
      <c r="O10" s="21">
        <v>16</v>
      </c>
      <c r="P10" s="22">
        <v>92854683</v>
      </c>
      <c r="Q10" s="23">
        <v>907743704</v>
      </c>
      <c r="R10" s="23">
        <v>98834880</v>
      </c>
      <c r="S10" s="23">
        <v>4601296</v>
      </c>
      <c r="T10" s="23">
        <v>804307528</v>
      </c>
      <c r="U10" s="24" t="s">
        <v>571</v>
      </c>
      <c r="V10" s="24" t="s">
        <v>571</v>
      </c>
      <c r="W10" s="24" t="s">
        <v>571</v>
      </c>
      <c r="X10" s="24" t="s">
        <v>571</v>
      </c>
      <c r="Y10" s="24" t="s">
        <v>571</v>
      </c>
      <c r="Z10" s="25">
        <v>2515.04</v>
      </c>
      <c r="AA10" s="25">
        <v>13902.4</v>
      </c>
      <c r="AB10" s="25">
        <v>11.909000000000001</v>
      </c>
      <c r="AC10" s="25">
        <v>60.41</v>
      </c>
      <c r="AE10" s="26">
        <f t="shared" si="7"/>
        <v>4.2419744383943012E-2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45">
      <c r="A11" s="27"/>
      <c r="B11" s="27" t="s">
        <v>80</v>
      </c>
      <c r="C11" s="27">
        <v>333190689</v>
      </c>
      <c r="D11" s="28">
        <v>11</v>
      </c>
      <c r="E11" s="28">
        <v>32</v>
      </c>
      <c r="F11" s="28">
        <v>30</v>
      </c>
      <c r="H11" s="36">
        <f t="shared" si="0"/>
        <v>4.3594405379414072E-2</v>
      </c>
      <c r="I11" s="29">
        <f t="shared" si="1"/>
        <v>776.19304499999998</v>
      </c>
      <c r="J11" s="30">
        <f t="shared" si="2"/>
        <v>2.4848811066266019</v>
      </c>
      <c r="K11" s="30">
        <f t="shared" si="3"/>
        <v>0.29575743636701685</v>
      </c>
      <c r="L11" s="30">
        <f t="shared" si="4"/>
        <v>0.28138445369342241</v>
      </c>
      <c r="M11" s="30">
        <f t="shared" si="5"/>
        <v>2.1891236702595851</v>
      </c>
      <c r="N11" s="27">
        <f t="shared" si="6"/>
        <v>98543624</v>
      </c>
      <c r="O11" s="30">
        <v>16</v>
      </c>
      <c r="P11" s="31">
        <v>83104648</v>
      </c>
      <c r="Q11" s="32">
        <v>827939248</v>
      </c>
      <c r="R11" s="32">
        <v>93754680</v>
      </c>
      <c r="S11" s="32">
        <v>4788944</v>
      </c>
      <c r="T11" s="32">
        <v>729395624</v>
      </c>
      <c r="U11" s="33" t="s">
        <v>571</v>
      </c>
      <c r="V11" s="33" t="s">
        <v>571</v>
      </c>
      <c r="W11" s="33" t="s">
        <v>571</v>
      </c>
      <c r="X11" s="33" t="s">
        <v>571</v>
      </c>
      <c r="Y11" s="33" t="s">
        <v>571</v>
      </c>
      <c r="Z11" s="34">
        <v>2219.91</v>
      </c>
      <c r="AA11" s="34">
        <v>15592.1</v>
      </c>
      <c r="AB11" s="34">
        <v>13.412000000000001</v>
      </c>
      <c r="AC11" s="34">
        <v>80.790000000000006</v>
      </c>
      <c r="AE11" s="36">
        <f t="shared" si="7"/>
        <v>4.3594405379414072E-2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45">
      <c r="B12" s="47" t="s">
        <v>14</v>
      </c>
      <c r="J12" s="48">
        <f>AVERAGE(J5:J8)</f>
        <v>1.0859381857076333</v>
      </c>
      <c r="K12" s="48">
        <f>AVERAGE(K5:K8)</f>
        <v>0.164933655500591</v>
      </c>
      <c r="L12" s="48">
        <f>AVERAGE(L5:L8)</f>
        <v>0.15052109274881903</v>
      </c>
      <c r="M12" s="48">
        <f>AVERAGE(M5:M8)</f>
        <v>0.92100453020704232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45">
      <c r="B13" s="47" t="s">
        <v>15</v>
      </c>
      <c r="J13" s="48">
        <f>AVERAGE(J9:J9)</f>
        <v>1.5083376595023539</v>
      </c>
      <c r="K13" s="48">
        <f>AVERAGE(K9:K9)</f>
        <v>0.15215971394858238</v>
      </c>
      <c r="L13" s="48">
        <f>AVERAGE(L9:L9)</f>
        <v>0.14248046328066341</v>
      </c>
      <c r="M13" s="48">
        <f>AVERAGE(M9:M9)</f>
        <v>1.3561779455537715</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45">
      <c r="B14" s="47" t="s">
        <v>16</v>
      </c>
      <c r="J14" s="48">
        <f>AVERAGE(J10:J11)</f>
        <v>2.4514032682556768</v>
      </c>
      <c r="K14" s="48">
        <f>AVERAGE(K10:K11)</f>
        <v>0.28563839595288176</v>
      </c>
      <c r="L14" s="48">
        <f>AVERAGE(L10:L11)</f>
        <v>0.27232374830951822</v>
      </c>
      <c r="M14" s="48">
        <f>AVERAGE(M10:M11)</f>
        <v>2.1657648723027951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collapsed="1" x14ac:dyDescent="0.45">
      <c r="B15" s="47" t="s">
        <v>17</v>
      </c>
      <c r="J15" s="48">
        <f>AVERAGE(J5:J11)</f>
        <v>1.5364138484063203</v>
      </c>
      <c r="K15" s="48">
        <f>AVERAGE(K5:K11)</f>
        <v>0.19759587540810139</v>
      </c>
      <c r="L15" s="48">
        <f>AVERAGE(L5:L11)</f>
        <v>0.18417319012785374</v>
      </c>
      <c r="M15" s="48">
        <f>AVERAGE(M5:M11)</f>
        <v>1.3388179729982188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45">
      <c r="A16" s="47" t="s">
        <v>237</v>
      </c>
      <c r="B16" s="47" t="s">
        <v>238</v>
      </c>
      <c r="Z16" s="49">
        <f>SUM(Z5:Z8,Z9:Z9,Z10:Z11)</f>
        <v>18470.78</v>
      </c>
      <c r="AA16" s="49">
        <f>SUM(AA5:AA8,AA9:AA9,AA10:AA11)</f>
        <v>53282.93</v>
      </c>
      <c r="AB16" s="49">
        <f>SUM(AB5:AB8,AB9:AB9,AB10:AB11)</f>
        <v>45.208999999999996</v>
      </c>
      <c r="AC16" s="49">
        <f>SUM(AC5:AC8,AC9:AC9,AC10:AC11)</f>
        <v>247.42000000000002</v>
      </c>
      <c r="AW16" s="49">
        <f>SUM(AW5:AW8,AW9:AW9,AW10:AW11)</f>
        <v>0</v>
      </c>
      <c r="AX16" s="49">
        <f>SUM(AX5:AX8,AX9:AX9,AX10:AX11)</f>
        <v>0</v>
      </c>
      <c r="AY16" s="49">
        <f>SUM(AY5:AY8,AY9:AY9,AY10:AY11)</f>
        <v>0</v>
      </c>
      <c r="AZ16" s="49">
        <f>SUM(AZ5:AZ8,AZ9:AZ9,AZ10:AZ11)</f>
        <v>0</v>
      </c>
    </row>
    <row r="17" spans="2:52" hidden="1" outlineLevel="2" x14ac:dyDescent="0.45">
      <c r="B17" s="47" t="s">
        <v>239</v>
      </c>
      <c r="AW17" s="55">
        <f>AW16/Z16</f>
        <v>0</v>
      </c>
      <c r="AX17" s="55">
        <f>AX16/AA16</f>
        <v>0</v>
      </c>
      <c r="AY17" s="55">
        <f>AY16/AB16</f>
        <v>0</v>
      </c>
      <c r="AZ17" s="55">
        <f>AZ16/AC16</f>
        <v>0</v>
      </c>
    </row>
    <row r="18" spans="2:52" hidden="1" outlineLevel="2" x14ac:dyDescent="0.45">
      <c r="B18" s="47" t="s">
        <v>240</v>
      </c>
      <c r="Z18" s="49">
        <f>GEOMEAN(Z5:Z8,Z9:Z9,Z10:Z11)</f>
        <v>2498.3440778183904</v>
      </c>
      <c r="AA18" s="49">
        <f>GEOMEAN(AA5:AA8,AA9:AA9,AA10:AA11)</f>
        <v>6541.1266103798353</v>
      </c>
      <c r="AB18" s="49">
        <f>GEOMEAN(AB5:AB8,AB9:AB9,AB10:AB11)</f>
        <v>5.4989961416789566</v>
      </c>
      <c r="AC18" s="49">
        <f>GEOMEAN(AC5:AC8,AC9:AC9,AC10:AC11)</f>
        <v>29.793279919745444</v>
      </c>
      <c r="AW18" s="49" t="e">
        <f>GEOMEAN(AW5:AW8,AW9:AW9,AW10:AW11)</f>
        <v>#NUM!</v>
      </c>
      <c r="AX18" s="49" t="e">
        <f>GEOMEAN(AX5:AX8,AX9:AX9,AX10:AX11)</f>
        <v>#NUM!</v>
      </c>
      <c r="AY18" s="49" t="e">
        <f>GEOMEAN(AY5:AY8,AY9:AY9,AY10:AY11)</f>
        <v>#NUM!</v>
      </c>
      <c r="AZ18" s="49" t="e">
        <f>GEOMEAN(AZ5:AZ8,AZ9:AZ9,AZ10:AZ11)</f>
        <v>#NUM!</v>
      </c>
    </row>
    <row r="19" spans="2:52" outlineLevel="2" collapsed="1" x14ac:dyDescent="0.4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Z11" sqref="AM5:AZ11"/>
    </sheetView>
  </sheetViews>
  <sheetFormatPr defaultRowHeight="14.25" outlineLevelRow="2" x14ac:dyDescent="0.45"/>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45">
      <c r="A1" s="73" t="s">
        <v>572</v>
      </c>
      <c r="B1" s="59"/>
      <c r="C1" s="59"/>
      <c r="D1" s="59"/>
      <c r="E1" s="59"/>
      <c r="F1" s="59"/>
      <c r="H1" s="58" t="str">
        <f>Summary!$C$1</f>
        <v>Master+r7.0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4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8" customHeight="1" x14ac:dyDescent="0.4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4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45">
      <c r="A5" s="54" t="s">
        <v>229</v>
      </c>
      <c r="B5" s="54" t="s">
        <v>49</v>
      </c>
      <c r="C5" s="54">
        <v>238146391</v>
      </c>
      <c r="D5" s="10">
        <v>10</v>
      </c>
      <c r="E5" s="10">
        <v>32</v>
      </c>
      <c r="F5" s="10">
        <v>30</v>
      </c>
      <c r="H5" s="17">
        <f t="shared" ref="H5:H11" si="0">IF(ISBLANK(Q5),"·",Q5/(C5*(D5*3+IF(AND(ISNUMBER(T5),T5&gt;0),24,0))))</f>
        <v>1.7106541770709367E-2</v>
      </c>
      <c r="I5" s="11">
        <f t="shared" ref="I5:I11" si="1">IF(OR(ISBLANK(Q5),ISBLANK(F5)),"·",Q5*F5/E5/1000000)</f>
        <v>206.23922250000001</v>
      </c>
      <c r="J5" s="12">
        <f t="shared" ref="J5:J11" si="2">IF(ISBLANK(Q5),"·",Q5/C5)</f>
        <v>0.92375325561830579</v>
      </c>
      <c r="K5" s="12">
        <f t="shared" ref="K5:K11" si="3">IF(N5="","·",N5/C5)</f>
        <v>0.14306695917974252</v>
      </c>
      <c r="L5" s="12">
        <f t="shared" ref="L5:L11" si="4">IF(R5="","·",R5/C5)</f>
        <v>0.13400974025258269</v>
      </c>
      <c r="M5" s="12">
        <f t="shared" ref="M5:M11" si="5">IF(ISBLANK(T5),"·",T5/C5)</f>
        <v>0.78068629643856324</v>
      </c>
      <c r="N5" s="54">
        <f t="shared" ref="N5:N11" si="6">IF(OR(ISBLANK(R5),ISBLANK(S5)),"",R5+S5)</f>
        <v>34070880</v>
      </c>
      <c r="O5" s="12">
        <v>16</v>
      </c>
      <c r="P5" s="13">
        <v>24964341</v>
      </c>
      <c r="Q5" s="14">
        <v>219988504</v>
      </c>
      <c r="R5" s="14">
        <v>31913936</v>
      </c>
      <c r="S5" s="14">
        <v>2156944</v>
      </c>
      <c r="T5" s="14">
        <v>185917624</v>
      </c>
      <c r="U5" s="15" t="s">
        <v>571</v>
      </c>
      <c r="V5" s="15" t="s">
        <v>571</v>
      </c>
      <c r="W5" s="15" t="s">
        <v>571</v>
      </c>
      <c r="X5" s="15" t="s">
        <v>571</v>
      </c>
      <c r="Y5" s="15" t="s">
        <v>571</v>
      </c>
      <c r="Z5" s="16">
        <v>2777.85</v>
      </c>
      <c r="AA5" s="16">
        <v>5719.68</v>
      </c>
      <c r="AB5" s="16">
        <v>3.5369999999999999</v>
      </c>
      <c r="AC5" s="16">
        <v>18.356000000000002</v>
      </c>
      <c r="AE5" s="17">
        <f t="shared" ref="AE5:AE11" si="7">IF(ISBLANK(Q5),"·",Q5/(C5*(D5*3+IF(AND(ISNUMBER(T5),T5&gt;0),24,0))))</f>
        <v>1.7106541770709367E-2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45">
      <c r="A6" s="18"/>
      <c r="B6" s="18" t="s">
        <v>57</v>
      </c>
      <c r="C6" s="18">
        <v>218121242</v>
      </c>
      <c r="D6" s="19">
        <v>10</v>
      </c>
      <c r="E6" s="19">
        <v>32</v>
      </c>
      <c r="F6" s="19">
        <v>30</v>
      </c>
      <c r="H6" s="26">
        <f t="shared" si="0"/>
        <v>2.4427222673471426E-2</v>
      </c>
      <c r="I6" s="20">
        <f t="shared" si="1"/>
        <v>269.73486750000001</v>
      </c>
      <c r="J6" s="21">
        <f t="shared" si="2"/>
        <v>1.3190700243674571</v>
      </c>
      <c r="K6" s="21">
        <f t="shared" si="3"/>
        <v>0.17674489493325002</v>
      </c>
      <c r="L6" s="21">
        <f t="shared" si="4"/>
        <v>0.16079413301708598</v>
      </c>
      <c r="M6" s="21">
        <f t="shared" si="5"/>
        <v>1.1423251294342072</v>
      </c>
      <c r="N6" s="18">
        <f t="shared" si="6"/>
        <v>38551816</v>
      </c>
      <c r="O6" s="21">
        <v>16</v>
      </c>
      <c r="P6" s="22">
        <v>22654789</v>
      </c>
      <c r="Q6" s="23">
        <v>287717192</v>
      </c>
      <c r="R6" s="23">
        <v>35072616</v>
      </c>
      <c r="S6" s="23">
        <v>3479200</v>
      </c>
      <c r="T6" s="23">
        <v>249165376</v>
      </c>
      <c r="U6" s="24" t="s">
        <v>571</v>
      </c>
      <c r="V6" s="24" t="s">
        <v>571</v>
      </c>
      <c r="W6" s="24" t="s">
        <v>571</v>
      </c>
      <c r="X6" s="24" t="s">
        <v>571</v>
      </c>
      <c r="Y6" s="24" t="s">
        <v>571</v>
      </c>
      <c r="Z6" s="25">
        <v>2526.63</v>
      </c>
      <c r="AA6" s="25">
        <v>7232.02</v>
      </c>
      <c r="AB6" s="25">
        <v>3.2759999999999998</v>
      </c>
      <c r="AC6" s="25">
        <v>19.443999999999999</v>
      </c>
      <c r="AE6" s="26">
        <f t="shared" si="7"/>
        <v>2.4427222673471426E-2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45">
      <c r="A7" s="54"/>
      <c r="B7" s="54" t="s">
        <v>62</v>
      </c>
      <c r="C7" s="54">
        <v>322589704</v>
      </c>
      <c r="D7" s="10">
        <v>10</v>
      </c>
      <c r="E7" s="10">
        <v>32</v>
      </c>
      <c r="F7" s="10">
        <v>30</v>
      </c>
      <c r="H7" s="17">
        <f t="shared" si="0"/>
        <v>1.8798636296583474E-2</v>
      </c>
      <c r="I7" s="11">
        <f t="shared" si="1"/>
        <v>307.00247999999999</v>
      </c>
      <c r="J7" s="12">
        <f t="shared" si="2"/>
        <v>1.0151263600155076</v>
      </c>
      <c r="K7" s="12">
        <f t="shared" si="3"/>
        <v>0.15736130251695821</v>
      </c>
      <c r="L7" s="12">
        <f t="shared" si="4"/>
        <v>0.14511731595748636</v>
      </c>
      <c r="M7" s="12">
        <f t="shared" si="5"/>
        <v>0.85776505749854925</v>
      </c>
      <c r="N7" s="54">
        <f t="shared" si="6"/>
        <v>50763136</v>
      </c>
      <c r="O7" s="12">
        <v>16</v>
      </c>
      <c r="P7" s="13">
        <v>33947718</v>
      </c>
      <c r="Q7" s="14">
        <v>327469312</v>
      </c>
      <c r="R7" s="14">
        <v>46813352</v>
      </c>
      <c r="S7" s="14">
        <v>3949784</v>
      </c>
      <c r="T7" s="14">
        <v>276706176</v>
      </c>
      <c r="U7" s="15" t="s">
        <v>571</v>
      </c>
      <c r="V7" s="15" t="s">
        <v>571</v>
      </c>
      <c r="W7" s="15" t="s">
        <v>571</v>
      </c>
      <c r="X7" s="15" t="s">
        <v>571</v>
      </c>
      <c r="Y7" s="15" t="s">
        <v>571</v>
      </c>
      <c r="Z7" s="16">
        <v>3677.17</v>
      </c>
      <c r="AA7" s="16">
        <v>7356.98</v>
      </c>
      <c r="AB7" s="16">
        <v>4.9260000000000002</v>
      </c>
      <c r="AC7" s="16">
        <v>23.303999999999998</v>
      </c>
      <c r="AE7" s="17">
        <f t="shared" si="7"/>
        <v>1.8798636296583474E-2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45">
      <c r="A8" s="37"/>
      <c r="B8" s="37" t="s">
        <v>68</v>
      </c>
      <c r="C8" s="37">
        <v>250602891</v>
      </c>
      <c r="D8" s="38">
        <v>10</v>
      </c>
      <c r="E8" s="38">
        <v>32</v>
      </c>
      <c r="F8" s="38">
        <v>50</v>
      </c>
      <c r="H8" s="46">
        <f t="shared" si="0"/>
        <v>1.7288516820407697E-2</v>
      </c>
      <c r="I8" s="39">
        <f t="shared" si="1"/>
        <v>365.5591</v>
      </c>
      <c r="J8" s="40">
        <f t="shared" si="2"/>
        <v>0.93357990830201554</v>
      </c>
      <c r="K8" s="40">
        <f t="shared" si="3"/>
        <v>0.11808754432924719</v>
      </c>
      <c r="L8" s="40">
        <f t="shared" si="4"/>
        <v>0.10408365161278207</v>
      </c>
      <c r="M8" s="40">
        <f t="shared" si="5"/>
        <v>0.81549236397276836</v>
      </c>
      <c r="N8" s="37">
        <f t="shared" si="6"/>
        <v>29593080</v>
      </c>
      <c r="O8" s="40">
        <v>16</v>
      </c>
      <c r="P8" s="41">
        <v>32209643</v>
      </c>
      <c r="Q8" s="42">
        <v>233957824</v>
      </c>
      <c r="R8" s="42">
        <v>26083664</v>
      </c>
      <c r="S8" s="42">
        <v>3509416</v>
      </c>
      <c r="T8" s="42">
        <v>204364744</v>
      </c>
      <c r="U8" s="43" t="s">
        <v>571</v>
      </c>
      <c r="V8" s="43" t="s">
        <v>571</v>
      </c>
      <c r="W8" s="43" t="s">
        <v>571</v>
      </c>
      <c r="X8" s="43" t="s">
        <v>571</v>
      </c>
      <c r="Y8" s="43" t="s">
        <v>571</v>
      </c>
      <c r="Z8" s="44">
        <v>3559.15</v>
      </c>
      <c r="AA8" s="44">
        <v>5724.11</v>
      </c>
      <c r="AB8" s="44">
        <v>4.3179999999999996</v>
      </c>
      <c r="AC8" s="44">
        <v>19.478999999999999</v>
      </c>
      <c r="AE8" s="46">
        <f t="shared" si="7"/>
        <v>1.7288516820407697E-2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45">
      <c r="A9" s="27" t="s">
        <v>235</v>
      </c>
      <c r="B9" s="27" t="s">
        <v>71</v>
      </c>
      <c r="C9" s="27">
        <v>250294582</v>
      </c>
      <c r="D9" s="28">
        <v>10</v>
      </c>
      <c r="E9" s="28">
        <v>32</v>
      </c>
      <c r="F9" s="28">
        <v>30</v>
      </c>
      <c r="H9" s="36">
        <f t="shared" si="0"/>
        <v>2.7762189553226645E-2</v>
      </c>
      <c r="I9" s="29">
        <f t="shared" si="1"/>
        <v>351.77923500000003</v>
      </c>
      <c r="J9" s="30">
        <f t="shared" si="2"/>
        <v>1.4991582358742388</v>
      </c>
      <c r="K9" s="30">
        <f t="shared" si="3"/>
        <v>0.15212171072884031</v>
      </c>
      <c r="L9" s="30">
        <f t="shared" si="4"/>
        <v>0.14210963623655265</v>
      </c>
      <c r="M9" s="30">
        <f t="shared" si="5"/>
        <v>1.3470365251453984</v>
      </c>
      <c r="N9" s="27">
        <f t="shared" si="6"/>
        <v>38075240</v>
      </c>
      <c r="O9" s="30">
        <v>16</v>
      </c>
      <c r="P9" s="31">
        <v>25312408</v>
      </c>
      <c r="Q9" s="32">
        <v>375231184</v>
      </c>
      <c r="R9" s="32">
        <v>35569272</v>
      </c>
      <c r="S9" s="32">
        <v>2505968</v>
      </c>
      <c r="T9" s="32">
        <v>337155944</v>
      </c>
      <c r="U9" s="33" t="s">
        <v>571</v>
      </c>
      <c r="V9" s="33" t="s">
        <v>571</v>
      </c>
      <c r="W9" s="33" t="s">
        <v>571</v>
      </c>
      <c r="X9" s="33" t="s">
        <v>571</v>
      </c>
      <c r="Y9" s="33" t="s">
        <v>571</v>
      </c>
      <c r="Z9" s="34">
        <v>1179.93</v>
      </c>
      <c r="AA9" s="34">
        <v>8006.34</v>
      </c>
      <c r="AB9" s="34">
        <v>3.827</v>
      </c>
      <c r="AC9" s="34">
        <v>23.512</v>
      </c>
      <c r="AE9" s="36">
        <f t="shared" si="7"/>
        <v>2.7762189553226645E-2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45">
      <c r="A10" s="18" t="s">
        <v>236</v>
      </c>
      <c r="B10" s="18" t="s">
        <v>75</v>
      </c>
      <c r="C10" s="18">
        <v>375422539</v>
      </c>
      <c r="D10" s="19">
        <v>11</v>
      </c>
      <c r="E10" s="19">
        <v>32</v>
      </c>
      <c r="F10" s="19">
        <v>30</v>
      </c>
      <c r="H10" s="26">
        <f t="shared" si="0"/>
        <v>4.2399916620022626E-2</v>
      </c>
      <c r="I10" s="20">
        <f t="shared" si="1"/>
        <v>850.61194499999999</v>
      </c>
      <c r="J10" s="21">
        <f t="shared" si="2"/>
        <v>2.4167952473412897</v>
      </c>
      <c r="K10" s="21">
        <f t="shared" si="3"/>
        <v>0.27505903155164585</v>
      </c>
      <c r="L10" s="21">
        <f t="shared" si="4"/>
        <v>0.26234100984544245</v>
      </c>
      <c r="M10" s="21">
        <f t="shared" si="5"/>
        <v>2.1417362157896438</v>
      </c>
      <c r="N10" s="18">
        <f t="shared" si="6"/>
        <v>103263360</v>
      </c>
      <c r="O10" s="21">
        <v>16</v>
      </c>
      <c r="P10" s="22">
        <v>92854683</v>
      </c>
      <c r="Q10" s="23">
        <v>907319408</v>
      </c>
      <c r="R10" s="23">
        <v>98488728</v>
      </c>
      <c r="S10" s="23">
        <v>4774632</v>
      </c>
      <c r="T10" s="23">
        <v>804056048</v>
      </c>
      <c r="U10" s="24" t="s">
        <v>571</v>
      </c>
      <c r="V10" s="24" t="s">
        <v>571</v>
      </c>
      <c r="W10" s="24" t="s">
        <v>571</v>
      </c>
      <c r="X10" s="24" t="s">
        <v>571</v>
      </c>
      <c r="Y10" s="24" t="s">
        <v>571</v>
      </c>
      <c r="Z10" s="25">
        <v>2508.6999999999998</v>
      </c>
      <c r="AA10" s="25">
        <v>25093.7</v>
      </c>
      <c r="AB10" s="25">
        <v>12.569000000000001</v>
      </c>
      <c r="AC10" s="25">
        <v>69.03</v>
      </c>
      <c r="AE10" s="26">
        <f t="shared" si="7"/>
        <v>4.2399916620022626E-2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45">
      <c r="A11" s="27"/>
      <c r="B11" s="27" t="s">
        <v>80</v>
      </c>
      <c r="C11" s="27">
        <v>333190689</v>
      </c>
      <c r="D11" s="28">
        <v>11</v>
      </c>
      <c r="E11" s="28">
        <v>32</v>
      </c>
      <c r="F11" s="28">
        <v>30</v>
      </c>
      <c r="H11" s="36">
        <f t="shared" si="0"/>
        <v>4.3587035488752549E-2</v>
      </c>
      <c r="I11" s="29">
        <f t="shared" si="1"/>
        <v>776.061825</v>
      </c>
      <c r="J11" s="30">
        <f t="shared" si="2"/>
        <v>2.4844610228588953</v>
      </c>
      <c r="K11" s="30">
        <f t="shared" si="3"/>
        <v>0.29577614037107741</v>
      </c>
      <c r="L11" s="30">
        <f t="shared" si="4"/>
        <v>0.28100381880719361</v>
      </c>
      <c r="M11" s="30">
        <f t="shared" si="5"/>
        <v>2.1886848824878178</v>
      </c>
      <c r="N11" s="27">
        <f t="shared" si="6"/>
        <v>98549856</v>
      </c>
      <c r="O11" s="30">
        <v>16</v>
      </c>
      <c r="P11" s="31">
        <v>83104648</v>
      </c>
      <c r="Q11" s="32">
        <v>827799280</v>
      </c>
      <c r="R11" s="32">
        <v>93627856</v>
      </c>
      <c r="S11" s="32">
        <v>4922000</v>
      </c>
      <c r="T11" s="32">
        <v>729249424</v>
      </c>
      <c r="U11" s="33" t="s">
        <v>571</v>
      </c>
      <c r="V11" s="33" t="s">
        <v>571</v>
      </c>
      <c r="W11" s="33" t="s">
        <v>571</v>
      </c>
      <c r="X11" s="33" t="s">
        <v>571</v>
      </c>
      <c r="Y11" s="33" t="s">
        <v>571</v>
      </c>
      <c r="Z11" s="34">
        <v>2214.23</v>
      </c>
      <c r="AA11" s="34">
        <v>29230.2</v>
      </c>
      <c r="AB11" s="34">
        <v>12.816000000000001</v>
      </c>
      <c r="AC11" s="34">
        <v>71.846999999999994</v>
      </c>
      <c r="AE11" s="36">
        <f t="shared" si="7"/>
        <v>4.3587035488752549E-2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45">
      <c r="B12" s="47" t="s">
        <v>14</v>
      </c>
      <c r="J12" s="48">
        <f>AVERAGE(J5:J8)</f>
        <v>1.0478823870758216</v>
      </c>
      <c r="K12" s="48">
        <f>AVERAGE(K5:K8)</f>
        <v>0.14881517523979948</v>
      </c>
      <c r="L12" s="48">
        <f>AVERAGE(L5:L8)</f>
        <v>0.13600121020998429</v>
      </c>
      <c r="M12" s="48">
        <f>AVERAGE(M5:M8)</f>
        <v>0.89906721183602201</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45">
      <c r="B13" s="47" t="s">
        <v>15</v>
      </c>
      <c r="J13" s="48">
        <f>AVERAGE(J9:J9)</f>
        <v>1.4991582358742388</v>
      </c>
      <c r="K13" s="48">
        <f>AVERAGE(K9:K9)</f>
        <v>0.15212171072884031</v>
      </c>
      <c r="L13" s="48">
        <f>AVERAGE(L9:L9)</f>
        <v>0.14210963623655265</v>
      </c>
      <c r="M13" s="48">
        <f>AVERAGE(M9:M9)</f>
        <v>1.3470365251453984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45">
      <c r="B14" s="47" t="s">
        <v>16</v>
      </c>
      <c r="J14" s="48">
        <f>AVERAGE(J10:J11)</f>
        <v>2.4506281351000925</v>
      </c>
      <c r="K14" s="48">
        <f>AVERAGE(K10:K11)</f>
        <v>0.28541758596136163</v>
      </c>
      <c r="L14" s="48">
        <f>AVERAGE(L10:L11)</f>
        <v>0.27167241432631806</v>
      </c>
      <c r="M14" s="48">
        <f>AVERAGE(M10:M11)</f>
        <v>2.165210549138731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45">
      <c r="B15" s="47" t="s">
        <v>17</v>
      </c>
      <c r="J15" s="48">
        <f>AVERAGE(J5:J11)</f>
        <v>1.5131348649111014</v>
      </c>
      <c r="K15" s="48">
        <f>AVERAGE(K5:K11)</f>
        <v>0.1883167976586802</v>
      </c>
      <c r="L15" s="48">
        <f>AVERAGE(L5:L11)</f>
        <v>0.17563704367558941</v>
      </c>
      <c r="M15" s="48">
        <f>AVERAGE(M5:M11)</f>
        <v>1.3248180672524212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45">
      <c r="A16" s="47" t="s">
        <v>237</v>
      </c>
      <c r="B16" s="47" t="s">
        <v>238</v>
      </c>
      <c r="Z16" s="49">
        <f>SUM(Z5:Z8,Z9:Z9,Z10:Z11)</f>
        <v>18443.66</v>
      </c>
      <c r="AA16" s="49">
        <f>SUM(AA5:AA8,AA9:AA9,AA10:AA11)</f>
        <v>88363.03</v>
      </c>
      <c r="AB16" s="49">
        <f>SUM(AB5:AB8,AB9:AB9,AB10:AB11)</f>
        <v>45.269000000000005</v>
      </c>
      <c r="AC16" s="49">
        <f>SUM(AC5:AC8,AC9:AC9,AC10:AC11)</f>
        <v>244.97199999999998</v>
      </c>
      <c r="AW16" s="49">
        <f>SUM(AW5:AW8,AW9:AW9,AW10:AW11)</f>
        <v>0</v>
      </c>
      <c r="AX16" s="49">
        <f>SUM(AX5:AX8,AX9:AX9,AX10:AX11)</f>
        <v>0</v>
      </c>
      <c r="AY16" s="49">
        <f>SUM(AY5:AY8,AY9:AY9,AY10:AY11)</f>
        <v>0</v>
      </c>
      <c r="AZ16" s="49">
        <f>SUM(AZ5:AZ8,AZ9:AZ9,AZ10:AZ11)</f>
        <v>0</v>
      </c>
    </row>
    <row r="17" spans="2:52" hidden="1" outlineLevel="2" x14ac:dyDescent="0.45">
      <c r="B17" s="47" t="s">
        <v>239</v>
      </c>
      <c r="AW17" s="55">
        <f>AW16/Z16</f>
        <v>0</v>
      </c>
      <c r="AX17" s="55">
        <f>AX16/AA16</f>
        <v>0</v>
      </c>
      <c r="AY17" s="55">
        <f>AY16/AB16</f>
        <v>0</v>
      </c>
      <c r="AZ17" s="55">
        <f>AZ16/AC16</f>
        <v>0</v>
      </c>
    </row>
    <row r="18" spans="2:52" hidden="1" outlineLevel="2" x14ac:dyDescent="0.45">
      <c r="B18" s="47" t="s">
        <v>240</v>
      </c>
      <c r="Z18" s="49">
        <f>GEOMEAN(Z5:Z8,Z9:Z9,Z10:Z11)</f>
        <v>2495.1184252455687</v>
      </c>
      <c r="AA18" s="49">
        <f>GEOMEAN(AA5:AA8,AA9:AA9,AA10:AA11)</f>
        <v>10032.517277897274</v>
      </c>
      <c r="AB18" s="49">
        <f>GEOMEAN(AB5:AB8,AB9:AB9,AB10:AB11)</f>
        <v>5.4984241803987306</v>
      </c>
      <c r="AC18" s="49">
        <f>GEOMEAN(AC5:AC8,AC9:AC9,AC10:AC11)</f>
        <v>29.379365407999728</v>
      </c>
      <c r="AW18" s="49" t="e">
        <f>GEOMEAN(AW5:AW8,AW9:AW9,AW10:AW11)</f>
        <v>#NUM!</v>
      </c>
      <c r="AX18" s="49" t="e">
        <f>GEOMEAN(AX5:AX8,AX9:AX9,AX10:AX11)</f>
        <v>#NUM!</v>
      </c>
      <c r="AY18" s="49" t="e">
        <f>GEOMEAN(AY5:AY8,AY9:AY9,AY10:AY11)</f>
        <v>#NUM!</v>
      </c>
      <c r="AZ18" s="49" t="e">
        <f>GEOMEAN(AZ5:AZ8,AZ9:AZ9,AZ10:AZ11)</f>
        <v>#NUM!</v>
      </c>
    </row>
    <row r="19" spans="2:52" outlineLevel="2" collapsed="1" x14ac:dyDescent="0.4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U47"/>
  <sheetViews>
    <sheetView tabSelected="1" zoomScale="55" zoomScaleNormal="55" workbookViewId="0">
      <pane xSplit="2" ySplit="4" topLeftCell="AU5" activePane="bottomRight" state="frozen"/>
      <selection pane="topRight" activeCell="C1" sqref="C1"/>
      <selection pane="bottomLeft" activeCell="A5" sqref="A5"/>
      <selection pane="bottomRight" activeCell="AN5" sqref="AN5:BC39"/>
    </sheetView>
  </sheetViews>
  <sheetFormatPr defaultRowHeight="14.25" outlineLevelRow="2" x14ac:dyDescent="0.45"/>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45">
      <c r="A1" s="73" t="s">
        <v>573</v>
      </c>
      <c r="B1" s="59"/>
      <c r="C1" s="59"/>
      <c r="D1" s="59"/>
      <c r="E1" s="59"/>
      <c r="F1" s="59"/>
      <c r="G1" s="59"/>
      <c r="I1" s="58" t="str">
        <f>Summary!$C$1</f>
        <v>Master+r7.0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4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4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4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45">
      <c r="A5" s="54" t="s">
        <v>229</v>
      </c>
      <c r="B5" s="54" t="s">
        <v>49</v>
      </c>
      <c r="C5" s="10" t="s">
        <v>230</v>
      </c>
      <c r="D5" s="54">
        <v>238146391</v>
      </c>
      <c r="E5" s="10">
        <v>10</v>
      </c>
      <c r="F5" s="10">
        <v>32</v>
      </c>
      <c r="G5" s="10">
        <v>30</v>
      </c>
      <c r="I5" s="11">
        <f t="shared" ref="I5:I39" si="0">IF(OR(ISBLANK(S5),ISBLANK(G5)),"·",S5*G5/F5/1000000)</f>
        <v>1.0426424999999999</v>
      </c>
      <c r="J5" s="12">
        <f t="shared" ref="J5:J39" si="1">IF(ISBLANK(S5),"·",S5/D5)</f>
        <v>4.6700350793894667E-3</v>
      </c>
      <c r="K5" s="12">
        <f t="shared" ref="K5:K39" si="2">IF(N5="","·",N5/D5)</f>
        <v>4.0576386479860621E-3</v>
      </c>
      <c r="L5" s="12">
        <f t="shared" ref="L5:L39" si="3">IF(T5="","·",T5/D5)</f>
        <v>2.5510359298285567E-3</v>
      </c>
      <c r="M5" s="12">
        <f t="shared" ref="M5:M39" si="4">IF(ISBLANK(V5),"·",V5/D5)</f>
        <v>6.1239643140340516E-4</v>
      </c>
      <c r="N5" s="54">
        <f t="shared" ref="N5:N39" si="5">IF(OR(ISBLANK(T5),ISBLANK(U5)),"",T5+U5)</f>
        <v>966312</v>
      </c>
      <c r="O5" s="12">
        <v>16</v>
      </c>
      <c r="P5" s="13">
        <v>23582209</v>
      </c>
      <c r="Q5" s="13">
        <v>736944.03125</v>
      </c>
      <c r="R5" s="13">
        <v>16984.9375</v>
      </c>
      <c r="S5" s="14">
        <v>1112152</v>
      </c>
      <c r="T5" s="14">
        <v>607520</v>
      </c>
      <c r="U5" s="14">
        <v>358792</v>
      </c>
      <c r="V5" s="14">
        <v>145840</v>
      </c>
      <c r="W5" s="15">
        <v>66.845706250000006</v>
      </c>
      <c r="X5" s="15">
        <v>68.619974999999997</v>
      </c>
      <c r="Y5" s="15">
        <v>31.719309375000002</v>
      </c>
      <c r="Z5" s="15">
        <v>44.569031250000002</v>
      </c>
      <c r="AA5" s="15">
        <v>44.236403125000002</v>
      </c>
      <c r="AB5" s="16">
        <v>4977.5600000000004</v>
      </c>
      <c r="AC5" s="16">
        <v>7081.09</v>
      </c>
      <c r="AD5" s="16">
        <v>75.308000000000007</v>
      </c>
      <c r="AE5" s="16">
        <v>34.433</v>
      </c>
      <c r="AG5" s="11">
        <f t="shared" ref="AG5:AG39" si="6">IF(OR(ISBLANK(AQ5),ISBLANK(G5)),"·",AQ5*G5/F5/1000000)</f>
        <v>1.158345</v>
      </c>
      <c r="AH5" s="12">
        <f t="shared" ref="AH5:AH39" si="7">IF(ISBLANK(AQ5),"·",AQ5/D5)</f>
        <v>5.1882709404569563E-3</v>
      </c>
      <c r="AI5" s="12">
        <f t="shared" ref="AI5:AI39" si="8">IF(AL5="","·",AL5/D5)</f>
        <v>4.4859466293570667E-3</v>
      </c>
      <c r="AJ5" s="12">
        <f t="shared" ref="AJ5:AJ39" si="9">IF(AR5="","·",AR5/D5)</f>
        <v>2.7089556020187598E-3</v>
      </c>
      <c r="AK5" s="12">
        <f t="shared" ref="AK5:AK39" si="10">IF(ISBLANK(AT5),"·",AT5/D5)</f>
        <v>7.0232431109988982E-4</v>
      </c>
      <c r="AL5" s="54">
        <f t="shared" ref="AL5:AL39" si="11">IF(OR(ISBLANK(AR5),ISBLANK(AS5)),"",AR5+AS5)</f>
        <v>1068312</v>
      </c>
      <c r="AM5" s="12">
        <v>16</v>
      </c>
      <c r="AN5" s="13">
        <v>23887485</v>
      </c>
      <c r="AO5" s="13">
        <v>746483.90625</v>
      </c>
      <c r="AP5" s="13">
        <v>20574.34375</v>
      </c>
      <c r="AQ5" s="14">
        <v>1235568</v>
      </c>
      <c r="AR5" s="14">
        <v>645128</v>
      </c>
      <c r="AS5" s="14">
        <v>423184</v>
      </c>
      <c r="AT5" s="14">
        <v>167256</v>
      </c>
      <c r="AU5" s="15">
        <v>66.918899999999994</v>
      </c>
      <c r="AV5" s="15">
        <v>68.607284375000006</v>
      </c>
      <c r="AW5" s="15">
        <v>31.677134375000001</v>
      </c>
      <c r="AX5" s="15">
        <v>44.428834375000001</v>
      </c>
      <c r="AY5" s="15">
        <v>43.966884374999999</v>
      </c>
      <c r="AZ5" s="16">
        <v>4326.84</v>
      </c>
      <c r="BA5" s="16">
        <v>6123.15</v>
      </c>
      <c r="BB5" s="16">
        <v>66.12</v>
      </c>
      <c r="BC5" s="16">
        <v>26.975999999999999</v>
      </c>
      <c r="BE5" s="51">
        <f t="shared" ref="BE5:BE43" si="12">AI5/K5</f>
        <v>1.1055559695005339</v>
      </c>
      <c r="BF5" s="17">
        <f t="shared" ref="BF5:BF39" si="13">(AP5/AO5) - (R5/Q5)</f>
        <v>4.5138724432842899E-3</v>
      </c>
      <c r="BG5" s="17">
        <f t="shared" ref="BG5:BG39" si="14">(AL5/AQ5) - (N5/S5)</f>
        <v>-4.2345468716035173E-3</v>
      </c>
      <c r="BH5" s="17">
        <f t="array" ref="BH5">AVERAGE(AL5:AL9/AQ5:AQ9) - AVERAGE(N5:N9/S5:S9)</f>
        <v>-1.3195678613714401E-3</v>
      </c>
      <c r="BJ5" s="51">
        <f>IF( OR(ISBLANK(N5:N9),ISBLANK(AL5:AL9), ISBLANK(W5:W9),ISBLANK(AU5:AU9)), "·", bdRateExtend( N5:N9,W5:W9, AL5:AL9,AU5:AU9))</f>
        <v>9.6037744555177218E-2</v>
      </c>
      <c r="BK5" s="51">
        <f>IF( OR(ISBLANK(N5:N9),ISBLANK(AL5:AL9), ISBLANK(X5:X9),ISBLANK(AV5:AV9)), "·", bdRateExtend( N5:N9,X5:X9, AL5:AL9,AV5:AV9))</f>
        <v>0.10923238868105556</v>
      </c>
      <c r="BL5" s="51">
        <f>IF( OR(ISBLANK(V5:V9),ISBLANK(AT5:AT9), ISBLANK(Y5:Y9),ISBLANK(AW5:AW9)), "·", bdRateExtend( V5:V9,Y5:Y9, AT5:AT9,AW5:AW9))</f>
        <v>9.7389153753106417E-2</v>
      </c>
      <c r="BM5" s="51">
        <f>IF( OR(ISBLANK(V5:V9),ISBLANK(AT5:AT9), ISBLANK(Z5:Z9),ISBLANK(AX5:AX9)), "·", bdRateExtend( V5:V9,Z5:Z9, AT5:AT9,AX5:AX9))</f>
        <v>0.15277474436610028</v>
      </c>
      <c r="BN5" s="51">
        <f>IF( OR(ISBLANK(V5:V9),ISBLANK(AT5:AT9), ISBLANK(AA5:AA9),ISBLANK(AY5:AY9)), "·", bdRateExtend( V5:V9,AA5:AA9, AT5:AT9,AY5:AY9))</f>
        <v>0.13182301223540871</v>
      </c>
      <c r="BP5" s="51">
        <f>IF( OR(ISBLANK(S5:S9),ISBLANK(AQ5:AQ9), ISBLANK(W5:W9),ISBLANK(AU5:AU9)), "·", bdRateExtend( S5:S9,W5:W9, AQ5:AQ9,AU5:AU9))</f>
        <v>0.10064837272874905</v>
      </c>
      <c r="BQ5" s="51">
        <f>IF( OR(ISBLANK(S5:S9),ISBLANK(AQ5:AQ9), ISBLANK(X5:X9),ISBLANK(AV5:AV9)), "·", bdRateExtend( S5:S9,X5:X9, AQ5:AQ9,AV5:AV9))</f>
        <v>0.11730738536537766</v>
      </c>
      <c r="BR5" s="51">
        <f>IF( OR(ISBLANK(S5:S9),ISBLANK(AQ5:AQ9), ISBLANK(Y5:Y9),ISBLANK(AW5:AW9)), "·", bdRateExtend( S5:S9,Y5:Y9, AQ5:AQ9,AW5:AW9))</f>
        <v>8.7046534770970352E-2</v>
      </c>
      <c r="BS5" s="51">
        <f>IF( OR(ISBLANK(S5:S9),ISBLANK(AQ5:AQ9), ISBLANK(Z5:Z9),ISBLANK(AX5:AX9)), "·", bdRateExtend( S5:S9,Z5:Z9, AQ5:AQ9,AX5:AX9))</f>
        <v>0.11857945587075647</v>
      </c>
      <c r="BT5" s="51">
        <f>IF( OR(ISBLANK(S5:S9),ISBLANK(AQ5:AQ9), ISBLANK(AA5:AA9),ISBLANK(AY5:AY9)), "·", bdRateExtend( S5:S9,AA5:AA9, AQ5:AQ9,AY5:AY9))</f>
        <v>0.10808227294661976</v>
      </c>
    </row>
    <row r="6" spans="1:72" outlineLevel="1" x14ac:dyDescent="0.45">
      <c r="A6" s="18"/>
      <c r="B6" s="18" t="s">
        <v>49</v>
      </c>
      <c r="C6" s="19" t="s">
        <v>231</v>
      </c>
      <c r="D6" s="18">
        <v>238146391</v>
      </c>
      <c r="E6" s="19">
        <v>10</v>
      </c>
      <c r="F6" s="19">
        <v>32</v>
      </c>
      <c r="G6" s="19">
        <v>30</v>
      </c>
      <c r="I6" s="20">
        <f t="shared" si="0"/>
        <v>1.3552575</v>
      </c>
      <c r="J6" s="21">
        <f t="shared" si="1"/>
        <v>6.0702494542526995E-3</v>
      </c>
      <c r="K6" s="21">
        <f t="shared" si="2"/>
        <v>4.9478809863635516E-3</v>
      </c>
      <c r="L6" s="21">
        <f t="shared" si="3"/>
        <v>3.4412782682060462E-3</v>
      </c>
      <c r="M6" s="21">
        <f t="shared" si="4"/>
        <v>1.1223684678891481E-3</v>
      </c>
      <c r="N6" s="18">
        <f t="shared" si="5"/>
        <v>1178320</v>
      </c>
      <c r="O6" s="21">
        <v>16</v>
      </c>
      <c r="P6" s="22">
        <v>24777501</v>
      </c>
      <c r="Q6" s="22">
        <v>774296.90625</v>
      </c>
      <c r="R6" s="22">
        <v>19924.3125</v>
      </c>
      <c r="S6" s="23">
        <v>1445608</v>
      </c>
      <c r="T6" s="23">
        <v>819528</v>
      </c>
      <c r="U6" s="23">
        <v>358792</v>
      </c>
      <c r="V6" s="23">
        <v>267288</v>
      </c>
      <c r="W6" s="24">
        <v>68.552896875000002</v>
      </c>
      <c r="X6" s="24">
        <v>70.622062499999998</v>
      </c>
      <c r="Y6" s="24">
        <v>33.797456250000003</v>
      </c>
      <c r="Z6" s="24">
        <v>45.493312500000002</v>
      </c>
      <c r="AA6" s="24">
        <v>45.153953125000001</v>
      </c>
      <c r="AB6" s="25">
        <v>3707.79</v>
      </c>
      <c r="AC6" s="25">
        <v>4647.2299999999996</v>
      </c>
      <c r="AD6" s="25">
        <v>76.376000000000005</v>
      </c>
      <c r="AE6" s="25">
        <v>30.899000000000001</v>
      </c>
      <c r="AG6" s="20">
        <f t="shared" si="6"/>
        <v>1.4986875</v>
      </c>
      <c r="AH6" s="21">
        <f t="shared" si="7"/>
        <v>6.7126778335263541E-3</v>
      </c>
      <c r="AI6" s="21">
        <f t="shared" si="8"/>
        <v>5.4385707654918862E-3</v>
      </c>
      <c r="AJ6" s="21">
        <f t="shared" si="9"/>
        <v>3.6615797381535798E-3</v>
      </c>
      <c r="AK6" s="21">
        <f t="shared" si="10"/>
        <v>1.2741070680344678E-3</v>
      </c>
      <c r="AL6" s="18">
        <f t="shared" si="11"/>
        <v>1295176</v>
      </c>
      <c r="AM6" s="21">
        <v>16</v>
      </c>
      <c r="AN6" s="22">
        <v>25078216</v>
      </c>
      <c r="AO6" s="22">
        <v>783694.25</v>
      </c>
      <c r="AP6" s="22">
        <v>24293.6875</v>
      </c>
      <c r="AQ6" s="23">
        <v>1598600</v>
      </c>
      <c r="AR6" s="23">
        <v>871992</v>
      </c>
      <c r="AS6" s="23">
        <v>423184</v>
      </c>
      <c r="AT6" s="23">
        <v>303424</v>
      </c>
      <c r="AU6" s="24">
        <v>68.574706250000006</v>
      </c>
      <c r="AV6" s="24">
        <v>70.568818750000005</v>
      </c>
      <c r="AW6" s="24">
        <v>33.820374999999999</v>
      </c>
      <c r="AX6" s="24">
        <v>45.452078125</v>
      </c>
      <c r="AY6" s="24">
        <v>45.11466875</v>
      </c>
      <c r="AZ6" s="25">
        <v>2977.94</v>
      </c>
      <c r="BA6" s="25">
        <v>4199.3500000000004</v>
      </c>
      <c r="BB6" s="25">
        <v>78.003</v>
      </c>
      <c r="BC6" s="25">
        <v>32.448999999999998</v>
      </c>
      <c r="BE6" s="50">
        <f t="shared" si="12"/>
        <v>1.0991717020843235</v>
      </c>
      <c r="BF6" s="26">
        <f t="shared" si="13"/>
        <v>5.2668005185020142E-3</v>
      </c>
      <c r="BG6" s="26">
        <f t="shared" si="14"/>
        <v>-4.9094831791465232E-3</v>
      </c>
      <c r="BH6" s="26"/>
      <c r="BJ6" s="50"/>
      <c r="BK6" s="50"/>
      <c r="BL6" s="50"/>
      <c r="BM6" s="50"/>
      <c r="BN6" s="50"/>
      <c r="BP6" s="50"/>
      <c r="BQ6" s="50"/>
      <c r="BR6" s="50"/>
      <c r="BS6" s="50"/>
      <c r="BT6" s="50"/>
    </row>
    <row r="7" spans="1:72" outlineLevel="1" x14ac:dyDescent="0.45">
      <c r="A7" s="54"/>
      <c r="B7" s="54" t="s">
        <v>49</v>
      </c>
      <c r="C7" s="10" t="s">
        <v>232</v>
      </c>
      <c r="D7" s="54">
        <v>238146391</v>
      </c>
      <c r="E7" s="10">
        <v>10</v>
      </c>
      <c r="F7" s="10">
        <v>32</v>
      </c>
      <c r="G7" s="10">
        <v>30</v>
      </c>
      <c r="I7" s="11">
        <f t="shared" si="0"/>
        <v>1.8754875</v>
      </c>
      <c r="J7" s="12">
        <f t="shared" si="1"/>
        <v>8.4003792440423761E-3</v>
      </c>
      <c r="K7" s="12">
        <f t="shared" si="2"/>
        <v>6.1465050713281648E-3</v>
      </c>
      <c r="L7" s="12">
        <f t="shared" si="3"/>
        <v>4.6399023531706598E-3</v>
      </c>
      <c r="M7" s="12">
        <f t="shared" si="4"/>
        <v>2.2538741727142109E-3</v>
      </c>
      <c r="N7" s="54">
        <f t="shared" si="5"/>
        <v>1463768</v>
      </c>
      <c r="O7" s="12">
        <v>16</v>
      </c>
      <c r="P7" s="13">
        <v>24923704</v>
      </c>
      <c r="Q7" s="13">
        <v>778865.75</v>
      </c>
      <c r="R7" s="13">
        <v>21104.875</v>
      </c>
      <c r="S7" s="14">
        <v>2000520</v>
      </c>
      <c r="T7" s="14">
        <v>1104976</v>
      </c>
      <c r="U7" s="14">
        <v>358792</v>
      </c>
      <c r="V7" s="14">
        <v>536752</v>
      </c>
      <c r="W7" s="15">
        <v>69.837434375000001</v>
      </c>
      <c r="X7" s="15">
        <v>72.274171874999993</v>
      </c>
      <c r="Y7" s="15">
        <v>36.189746874999997</v>
      </c>
      <c r="Z7" s="15">
        <v>46.884203124999999</v>
      </c>
      <c r="AA7" s="15">
        <v>46.664578124999998</v>
      </c>
      <c r="AB7" s="16">
        <v>4261.97</v>
      </c>
      <c r="AC7" s="16">
        <v>7229.06</v>
      </c>
      <c r="AD7" s="16">
        <v>80.679000000000002</v>
      </c>
      <c r="AE7" s="16">
        <v>35.210999999999999</v>
      </c>
      <c r="AG7" s="11">
        <f t="shared" si="6"/>
        <v>2.0483549999999999</v>
      </c>
      <c r="AH7" s="12">
        <f t="shared" si="7"/>
        <v>9.1746592960125946E-3</v>
      </c>
      <c r="AI7" s="12">
        <f t="shared" si="8"/>
        <v>6.6673947622410117E-3</v>
      </c>
      <c r="AJ7" s="12">
        <f t="shared" si="9"/>
        <v>4.8904037349027053E-3</v>
      </c>
      <c r="AK7" s="12">
        <f t="shared" si="10"/>
        <v>2.5072645337715824E-3</v>
      </c>
      <c r="AL7" s="54">
        <f t="shared" si="11"/>
        <v>1587816</v>
      </c>
      <c r="AM7" s="12">
        <v>16</v>
      </c>
      <c r="AN7" s="13">
        <v>25177051</v>
      </c>
      <c r="AO7" s="13">
        <v>786782.84375</v>
      </c>
      <c r="AP7" s="13">
        <v>25377.21875</v>
      </c>
      <c r="AQ7" s="14">
        <v>2184912</v>
      </c>
      <c r="AR7" s="14">
        <v>1164632</v>
      </c>
      <c r="AS7" s="14">
        <v>423184</v>
      </c>
      <c r="AT7" s="14">
        <v>597096</v>
      </c>
      <c r="AU7" s="15">
        <v>69.850415624999997</v>
      </c>
      <c r="AV7" s="15">
        <v>72.204893749999997</v>
      </c>
      <c r="AW7" s="15">
        <v>36.250381249999997</v>
      </c>
      <c r="AX7" s="15">
        <v>46.747221875000001</v>
      </c>
      <c r="AY7" s="15">
        <v>46.707487499999999</v>
      </c>
      <c r="AZ7" s="16">
        <v>4343.7299999999996</v>
      </c>
      <c r="BA7" s="16">
        <v>6866.17</v>
      </c>
      <c r="BB7" s="16">
        <v>71.108999999999995</v>
      </c>
      <c r="BC7" s="16">
        <v>31.413</v>
      </c>
      <c r="BE7" s="51">
        <f t="shared" si="12"/>
        <v>1.0847456700788649</v>
      </c>
      <c r="BF7" s="17">
        <f t="shared" si="13"/>
        <v>5.1574774455882232E-3</v>
      </c>
      <c r="BG7" s="17">
        <f t="shared" si="14"/>
        <v>-4.9752464741424918E-3</v>
      </c>
      <c r="BH7" s="17"/>
      <c r="BJ7" s="51"/>
      <c r="BK7" s="51"/>
      <c r="BL7" s="51"/>
      <c r="BM7" s="51"/>
      <c r="BN7" s="51"/>
      <c r="BP7" s="51"/>
      <c r="BQ7" s="51"/>
      <c r="BR7" s="51"/>
      <c r="BS7" s="51"/>
      <c r="BT7" s="51"/>
    </row>
    <row r="8" spans="1:72" outlineLevel="1" x14ac:dyDescent="0.45">
      <c r="A8" s="18"/>
      <c r="B8" s="18" t="s">
        <v>49</v>
      </c>
      <c r="C8" s="19" t="s">
        <v>233</v>
      </c>
      <c r="D8" s="18">
        <v>238146391</v>
      </c>
      <c r="E8" s="19">
        <v>10</v>
      </c>
      <c r="F8" s="19">
        <v>32</v>
      </c>
      <c r="G8" s="19">
        <v>30</v>
      </c>
      <c r="I8" s="20">
        <f t="shared" si="0"/>
        <v>3.0929700000000002</v>
      </c>
      <c r="J8" s="21">
        <f t="shared" si="1"/>
        <v>1.3853529277292302E-2</v>
      </c>
      <c r="K8" s="21">
        <f t="shared" si="2"/>
        <v>8.8610034825176084E-3</v>
      </c>
      <c r="L8" s="21">
        <f t="shared" si="3"/>
        <v>7.3544007643601035E-3</v>
      </c>
      <c r="M8" s="21">
        <f t="shared" si="4"/>
        <v>4.9925257947746942E-3</v>
      </c>
      <c r="N8" s="18">
        <f t="shared" si="5"/>
        <v>2110216</v>
      </c>
      <c r="O8" s="21">
        <v>16</v>
      </c>
      <c r="P8" s="22">
        <v>25894561</v>
      </c>
      <c r="Q8" s="22">
        <v>809205.03125</v>
      </c>
      <c r="R8" s="22">
        <v>24362.65625</v>
      </c>
      <c r="S8" s="23">
        <v>3299168</v>
      </c>
      <c r="T8" s="23">
        <v>1751424</v>
      </c>
      <c r="U8" s="23">
        <v>358792</v>
      </c>
      <c r="V8" s="23">
        <v>1188952</v>
      </c>
      <c r="W8" s="24">
        <v>70.899381250000005</v>
      </c>
      <c r="X8" s="24">
        <v>73.460274999999996</v>
      </c>
      <c r="Y8" s="24">
        <v>38.671903125</v>
      </c>
      <c r="Z8" s="24">
        <v>48.122496875000003</v>
      </c>
      <c r="AA8" s="24">
        <v>48.141521875000002</v>
      </c>
      <c r="AB8" s="25">
        <v>4315.7</v>
      </c>
      <c r="AC8" s="25">
        <v>8109.73</v>
      </c>
      <c r="AD8" s="25">
        <v>82.325000000000003</v>
      </c>
      <c r="AE8" s="25">
        <v>32.662999999999997</v>
      </c>
      <c r="AG8" s="20">
        <f t="shared" si="6"/>
        <v>3.3799649999999999</v>
      </c>
      <c r="AH8" s="21">
        <f t="shared" si="7"/>
        <v>1.5138990705930958E-2</v>
      </c>
      <c r="AI8" s="21">
        <f t="shared" si="8"/>
        <v>9.6492245393716668E-3</v>
      </c>
      <c r="AJ8" s="21">
        <f t="shared" si="9"/>
        <v>7.8722335120333612E-3</v>
      </c>
      <c r="AK8" s="21">
        <f t="shared" si="10"/>
        <v>5.4897661665592908E-3</v>
      </c>
      <c r="AL8" s="18">
        <f t="shared" si="11"/>
        <v>2297928</v>
      </c>
      <c r="AM8" s="21">
        <v>16</v>
      </c>
      <c r="AN8" s="22">
        <v>26293818</v>
      </c>
      <c r="AO8" s="22">
        <v>821681.8125</v>
      </c>
      <c r="AP8" s="22">
        <v>29368.65625</v>
      </c>
      <c r="AQ8" s="23">
        <v>3605296</v>
      </c>
      <c r="AR8" s="23">
        <v>1874744</v>
      </c>
      <c r="AS8" s="23">
        <v>423184</v>
      </c>
      <c r="AT8" s="23">
        <v>1307368</v>
      </c>
      <c r="AU8" s="24">
        <v>70.825671874999998</v>
      </c>
      <c r="AV8" s="24">
        <v>73.374653124999995</v>
      </c>
      <c r="AW8" s="24">
        <v>38.727471874999999</v>
      </c>
      <c r="AX8" s="24">
        <v>48.088718749999998</v>
      </c>
      <c r="AY8" s="24">
        <v>48.07005625</v>
      </c>
      <c r="AZ8" s="25">
        <v>4891.5200000000004</v>
      </c>
      <c r="BA8" s="25">
        <v>8776.01</v>
      </c>
      <c r="BB8" s="25">
        <v>86.125</v>
      </c>
      <c r="BC8" s="25">
        <v>32.963000000000001</v>
      </c>
      <c r="BE8" s="50">
        <f t="shared" si="12"/>
        <v>1.08895392699136</v>
      </c>
      <c r="BF8" s="26">
        <f t="shared" si="13"/>
        <v>5.6352260743541584E-3</v>
      </c>
      <c r="BG8" s="26">
        <f t="shared" si="14"/>
        <v>-2.2449729901604654E-3</v>
      </c>
      <c r="BH8" s="26"/>
      <c r="BJ8" s="50"/>
      <c r="BK8" s="50"/>
      <c r="BL8" s="50"/>
      <c r="BM8" s="50"/>
      <c r="BN8" s="50"/>
      <c r="BP8" s="50"/>
      <c r="BQ8" s="50"/>
      <c r="BR8" s="50"/>
      <c r="BS8" s="50"/>
      <c r="BT8" s="50"/>
    </row>
    <row r="9" spans="1:72" outlineLevel="1" x14ac:dyDescent="0.45">
      <c r="A9" s="54"/>
      <c r="B9" s="27" t="s">
        <v>49</v>
      </c>
      <c r="C9" s="28" t="s">
        <v>234</v>
      </c>
      <c r="D9" s="27">
        <v>238146391</v>
      </c>
      <c r="E9" s="28">
        <v>10</v>
      </c>
      <c r="F9" s="28">
        <v>32</v>
      </c>
      <c r="G9" s="28">
        <v>30</v>
      </c>
      <c r="I9" s="29">
        <f t="shared" si="0"/>
        <v>6.3083549999999997</v>
      </c>
      <c r="J9" s="30">
        <f t="shared" si="1"/>
        <v>2.8255359956305195E-2</v>
      </c>
      <c r="K9" s="30">
        <f t="shared" si="2"/>
        <v>1.5570053295495878E-2</v>
      </c>
      <c r="L9" s="30">
        <f t="shared" si="3"/>
        <v>1.2147654171253009E-2</v>
      </c>
      <c r="M9" s="30">
        <f t="shared" si="4"/>
        <v>1.2685306660809317E-2</v>
      </c>
      <c r="N9" s="27">
        <f t="shared" si="5"/>
        <v>3707952</v>
      </c>
      <c r="O9" s="30">
        <v>16</v>
      </c>
      <c r="P9" s="31">
        <v>24903158</v>
      </c>
      <c r="Q9" s="31">
        <v>778223.6875</v>
      </c>
      <c r="R9" s="31">
        <v>10582.96875</v>
      </c>
      <c r="S9" s="32">
        <v>6728912</v>
      </c>
      <c r="T9" s="32">
        <v>2892920</v>
      </c>
      <c r="U9" s="32">
        <v>815032</v>
      </c>
      <c r="V9" s="32">
        <v>3020960</v>
      </c>
      <c r="W9" s="33">
        <v>71.932043750000005</v>
      </c>
      <c r="X9" s="33">
        <v>75.246165625000003</v>
      </c>
      <c r="Y9" s="33">
        <v>41.135640625000001</v>
      </c>
      <c r="Z9" s="33">
        <v>49.545462499999999</v>
      </c>
      <c r="AA9" s="33">
        <v>49.686587500000002</v>
      </c>
      <c r="AB9" s="34">
        <v>4191.9799999999996</v>
      </c>
      <c r="AC9" s="34">
        <v>8366</v>
      </c>
      <c r="AD9" s="34">
        <v>71.912000000000006</v>
      </c>
      <c r="AE9" s="34">
        <v>33.292000000000002</v>
      </c>
      <c r="AG9" s="29">
        <f t="shared" si="6"/>
        <v>6.8287725000000004</v>
      </c>
      <c r="AH9" s="30">
        <f t="shared" si="7"/>
        <v>3.0586329565666186E-2</v>
      </c>
      <c r="AI9" s="30">
        <f t="shared" si="8"/>
        <v>1.7153247558557374E-2</v>
      </c>
      <c r="AJ9" s="30">
        <f t="shared" si="9"/>
        <v>1.2995838345499009E-2</v>
      </c>
      <c r="AK9" s="30">
        <f t="shared" si="10"/>
        <v>1.3433082007108813E-2</v>
      </c>
      <c r="AL9" s="27">
        <f t="shared" si="11"/>
        <v>4084984</v>
      </c>
      <c r="AM9" s="30">
        <v>16</v>
      </c>
      <c r="AN9" s="31">
        <v>25123364</v>
      </c>
      <c r="AO9" s="31">
        <v>785105.125</v>
      </c>
      <c r="AP9" s="31">
        <v>13071.96875</v>
      </c>
      <c r="AQ9" s="32">
        <v>7284024</v>
      </c>
      <c r="AR9" s="32">
        <v>3094912</v>
      </c>
      <c r="AS9" s="32">
        <v>990072</v>
      </c>
      <c r="AT9" s="32">
        <v>3199040</v>
      </c>
      <c r="AU9" s="33">
        <v>72.034746874999996</v>
      </c>
      <c r="AV9" s="33">
        <v>75.222893749999997</v>
      </c>
      <c r="AW9" s="33">
        <v>41.196543749999996</v>
      </c>
      <c r="AX9" s="33">
        <v>49.531365624999999</v>
      </c>
      <c r="AY9" s="33">
        <v>49.700846875000003</v>
      </c>
      <c r="AZ9" s="34">
        <v>4184.16</v>
      </c>
      <c r="BA9" s="34">
        <v>8227.6</v>
      </c>
      <c r="BB9" s="34">
        <v>84.649000000000001</v>
      </c>
      <c r="BC9" s="34">
        <v>39.402000000000001</v>
      </c>
      <c r="BE9" s="35">
        <f t="shared" si="12"/>
        <v>1.101682006671068</v>
      </c>
      <c r="BF9" s="36">
        <f t="shared" si="13"/>
        <v>3.0510820739240198E-3</v>
      </c>
      <c r="BG9" s="36">
        <f t="shared" si="14"/>
        <v>9.766410208195353E-3</v>
      </c>
      <c r="BH9" s="36"/>
      <c r="BJ9" s="35"/>
      <c r="BK9" s="35"/>
      <c r="BL9" s="35"/>
      <c r="BM9" s="35"/>
      <c r="BN9" s="35"/>
      <c r="BP9" s="35"/>
      <c r="BQ9" s="35"/>
      <c r="BR9" s="35"/>
      <c r="BS9" s="35"/>
      <c r="BT9" s="35"/>
    </row>
    <row r="10" spans="1:72" x14ac:dyDescent="0.45">
      <c r="A10" s="18"/>
      <c r="B10" s="18" t="s">
        <v>57</v>
      </c>
      <c r="C10" s="19" t="s">
        <v>230</v>
      </c>
      <c r="D10" s="18">
        <v>218121242</v>
      </c>
      <c r="E10" s="19">
        <v>10</v>
      </c>
      <c r="F10" s="19">
        <v>32</v>
      </c>
      <c r="G10" s="19">
        <v>30</v>
      </c>
      <c r="I10" s="20">
        <f t="shared" si="0"/>
        <v>1.9765725000000001</v>
      </c>
      <c r="J10" s="21">
        <f t="shared" si="1"/>
        <v>9.6659269893575976E-3</v>
      </c>
      <c r="K10" s="21">
        <f t="shared" si="2"/>
        <v>7.2509765004914106E-3</v>
      </c>
      <c r="L10" s="21">
        <f t="shared" si="3"/>
        <v>4.1104845716952226E-3</v>
      </c>
      <c r="M10" s="21">
        <f t="shared" si="4"/>
        <v>2.4149504888661875E-3</v>
      </c>
      <c r="N10" s="18">
        <f t="shared" si="5"/>
        <v>1581592</v>
      </c>
      <c r="O10" s="21">
        <v>16</v>
      </c>
      <c r="P10" s="22">
        <v>20942558</v>
      </c>
      <c r="Q10" s="22">
        <v>654454.9375</v>
      </c>
      <c r="R10" s="22">
        <v>18943.59375</v>
      </c>
      <c r="S10" s="23">
        <v>2108344</v>
      </c>
      <c r="T10" s="23">
        <v>896584</v>
      </c>
      <c r="U10" s="23">
        <v>685008</v>
      </c>
      <c r="V10" s="23">
        <v>526752</v>
      </c>
      <c r="W10" s="24">
        <v>65.984046875000004</v>
      </c>
      <c r="X10" s="24">
        <v>67.859693750000005</v>
      </c>
      <c r="Y10" s="24">
        <v>31.012543749999999</v>
      </c>
      <c r="Z10" s="24">
        <v>38.769037500000003</v>
      </c>
      <c r="AA10" s="24">
        <v>30.066781249999998</v>
      </c>
      <c r="AB10" s="25">
        <v>4565.99</v>
      </c>
      <c r="AC10" s="25">
        <v>8443.76</v>
      </c>
      <c r="AD10" s="25">
        <v>70.611999999999995</v>
      </c>
      <c r="AE10" s="25">
        <v>39.197000000000003</v>
      </c>
      <c r="AG10" s="20">
        <f t="shared" si="6"/>
        <v>2.2136925000000001</v>
      </c>
      <c r="AH10" s="21">
        <f t="shared" si="7"/>
        <v>1.0825502268137645E-2</v>
      </c>
      <c r="AI10" s="21">
        <f t="shared" si="8"/>
        <v>8.1747196359719977E-3</v>
      </c>
      <c r="AJ10" s="21">
        <f t="shared" si="9"/>
        <v>4.3765384391126838E-3</v>
      </c>
      <c r="AK10" s="21">
        <f t="shared" si="10"/>
        <v>2.6507826321656466E-3</v>
      </c>
      <c r="AL10" s="18">
        <f t="shared" si="11"/>
        <v>1783080</v>
      </c>
      <c r="AM10" s="21">
        <v>16</v>
      </c>
      <c r="AN10" s="22">
        <v>21463513</v>
      </c>
      <c r="AO10" s="22">
        <v>670734.78125</v>
      </c>
      <c r="AP10" s="22">
        <v>24912.5</v>
      </c>
      <c r="AQ10" s="23">
        <v>2361272</v>
      </c>
      <c r="AR10" s="23">
        <v>954616</v>
      </c>
      <c r="AS10" s="23">
        <v>828464</v>
      </c>
      <c r="AT10" s="23">
        <v>578192</v>
      </c>
      <c r="AU10" s="24">
        <v>66.123331250000007</v>
      </c>
      <c r="AV10" s="24">
        <v>67.836846875000006</v>
      </c>
      <c r="AW10" s="24">
        <v>31.089256249999998</v>
      </c>
      <c r="AX10" s="24">
        <v>38.716646875000002</v>
      </c>
      <c r="AY10" s="24">
        <v>30.159099999999999</v>
      </c>
      <c r="AZ10" s="25">
        <v>3978.73</v>
      </c>
      <c r="BA10" s="25">
        <v>7201.19</v>
      </c>
      <c r="BB10" s="25">
        <v>70.546000000000006</v>
      </c>
      <c r="BC10" s="25">
        <v>33.634</v>
      </c>
      <c r="BE10" s="50">
        <f t="shared" si="12"/>
        <v>1.1273956873833453</v>
      </c>
      <c r="BF10" s="26">
        <f t="shared" si="13"/>
        <v>8.196498058576196E-3</v>
      </c>
      <c r="BG10" s="26">
        <f t="shared" si="14"/>
        <v>4.9769495462121949E-3</v>
      </c>
      <c r="BH10" s="26">
        <f t="array" ref="BH10">AVERAGE(AL10:AL14/AQ10:AQ14) - AVERAGE(N10:N14/S10:S14)</f>
        <v>6.3834002326360606E-3</v>
      </c>
      <c r="BJ10" s="50">
        <f>IF( OR(ISBLANK(N10:N14),ISBLANK(AL10:AL14), ISBLANK(W10:W14),ISBLANK(AU10:AU14)), "·", bdRateExtend( N10:N14,W10:W14, AL10:AL14,AU10:AU14))</f>
        <v>0.1062931144693211</v>
      </c>
      <c r="BK10" s="50">
        <f>IF( OR(ISBLANK(N10:N14),ISBLANK(AL10:AL14), ISBLANK(X10:X14),ISBLANK(AV10:AV14)), "·", bdRateExtend( N10:N14,X10:X14, AL10:AL14,AV10:AV14))</f>
        <v>0.12917513620310261</v>
      </c>
      <c r="BL10" s="50">
        <f>IF( OR(ISBLANK(V10:V14),ISBLANK(AT10:AT14), ISBLANK(Y10:Y14),ISBLANK(AW10:AW14)), "·", bdRateExtend( V10:V14,Y10:Y14, AT10:AT14,AW10:AW14))</f>
        <v>5.0335584537293698E-2</v>
      </c>
      <c r="BM10" s="50">
        <f>IF( OR(ISBLANK(V10:V14),ISBLANK(AT10:AT14), ISBLANK(Z10:Z14),ISBLANK(AX10:AX14)), "·", bdRateExtend( V10:V14,Z10:Z14, AT10:AT14,AX10:AX14))</f>
        <v>6.5526818215809968E-2</v>
      </c>
      <c r="BN10" s="50">
        <f>IF( OR(ISBLANK(V10:V14),ISBLANK(AT10:AT14), ISBLANK(AA10:AA14),ISBLANK(AY10:AY14)), "·", bdRateExtend( V10:V14,AA10:AA14, AT10:AT14,AY10:AY14))</f>
        <v>3.4481056542085442E-2</v>
      </c>
      <c r="BP10" s="50">
        <f>IF( OR(ISBLANK(S10:S14),ISBLANK(AQ10:AQ14), ISBLANK(W10:W14),ISBLANK(AU10:AU14)), "·", bdRateExtend( S10:S14,W10:W14, AQ10:AQ14,AU10:AU14))</f>
        <v>9.2159746402388443E-2</v>
      </c>
      <c r="BQ10" s="50">
        <f>IF( OR(ISBLANK(S10:S14),ISBLANK(AQ10:AQ14), ISBLANK(X10:X14),ISBLANK(AV10:AV14)), "·", bdRateExtend( S10:S14,X10:X14, AQ10:AQ14,AV10:AV14))</f>
        <v>0.1208181333644045</v>
      </c>
      <c r="BR10" s="50">
        <f>IF( OR(ISBLANK(S10:S14),ISBLANK(AQ10:AQ14), ISBLANK(Y10:Y14),ISBLANK(AW10:AW14)), "·", bdRateExtend( S10:S14,Y10:Y14, AQ10:AQ14,AW10:AW14))</f>
        <v>7.6125040954155399E-2</v>
      </c>
      <c r="BS10" s="50">
        <f>IF( OR(ISBLANK(S10:S14),ISBLANK(AQ10:AQ14), ISBLANK(Z10:Z14),ISBLANK(AX10:AX14)), "·", bdRateExtend( S10:S14,Z10:Z14, AQ10:AQ14,AX10:AX14))</f>
        <v>8.5467874113879239E-2</v>
      </c>
      <c r="BT10" s="50">
        <f>IF( OR(ISBLANK(S10:S14),ISBLANK(AQ10:AQ14), ISBLANK(AA10:AA14),ISBLANK(AY10:AY14)), "·", bdRateExtend( S10:S14,AA10:AA14, AQ10:AQ14,AY10:AY14))</f>
        <v>6.4136228386066696E-2</v>
      </c>
    </row>
    <row r="11" spans="1:72" outlineLevel="1" x14ac:dyDescent="0.45">
      <c r="A11" s="54"/>
      <c r="B11" s="54" t="s">
        <v>57</v>
      </c>
      <c r="C11" s="10" t="s">
        <v>231</v>
      </c>
      <c r="D11" s="54">
        <v>218121242</v>
      </c>
      <c r="E11" s="10">
        <v>10</v>
      </c>
      <c r="F11" s="10">
        <v>32</v>
      </c>
      <c r="G11" s="10">
        <v>30</v>
      </c>
      <c r="I11" s="11">
        <f t="shared" si="0"/>
        <v>2.6997675000000001</v>
      </c>
      <c r="J11" s="12">
        <f t="shared" si="1"/>
        <v>1.3202528894457699E-2</v>
      </c>
      <c r="K11" s="12">
        <f t="shared" si="2"/>
        <v>8.8998576305557627E-3</v>
      </c>
      <c r="L11" s="12">
        <f t="shared" si="3"/>
        <v>5.7593657017595747E-3</v>
      </c>
      <c r="M11" s="12">
        <f t="shared" si="4"/>
        <v>4.302671263901936E-3</v>
      </c>
      <c r="N11" s="54">
        <f t="shared" si="5"/>
        <v>1941248</v>
      </c>
      <c r="O11" s="12">
        <v>16</v>
      </c>
      <c r="P11" s="13">
        <v>22233167</v>
      </c>
      <c r="Q11" s="13">
        <v>694786.46875</v>
      </c>
      <c r="R11" s="13">
        <v>23204.09375</v>
      </c>
      <c r="S11" s="14">
        <v>2879752</v>
      </c>
      <c r="T11" s="14">
        <v>1256240</v>
      </c>
      <c r="U11" s="14">
        <v>685008</v>
      </c>
      <c r="V11" s="14">
        <v>938504</v>
      </c>
      <c r="W11" s="15">
        <v>67.674731249999994</v>
      </c>
      <c r="X11" s="15">
        <v>69.753456249999999</v>
      </c>
      <c r="Y11" s="15">
        <v>32.861965625000003</v>
      </c>
      <c r="Z11" s="15">
        <v>39.685718749999999</v>
      </c>
      <c r="AA11" s="15">
        <v>32.24159375</v>
      </c>
      <c r="AB11" s="16">
        <v>3954.91</v>
      </c>
      <c r="AC11" s="16">
        <v>8491.89</v>
      </c>
      <c r="AD11" s="16">
        <v>75.751999999999995</v>
      </c>
      <c r="AE11" s="16">
        <v>39.911999999999999</v>
      </c>
      <c r="AG11" s="11">
        <f t="shared" si="6"/>
        <v>2.9994149999999999</v>
      </c>
      <c r="AH11" s="12">
        <f t="shared" si="7"/>
        <v>1.466787906883457E-2</v>
      </c>
      <c r="AI11" s="12">
        <f t="shared" si="8"/>
        <v>9.9596352014170181E-3</v>
      </c>
      <c r="AJ11" s="12">
        <f t="shared" si="9"/>
        <v>6.1614540045577034E-3</v>
      </c>
      <c r="AK11" s="12">
        <f t="shared" si="10"/>
        <v>4.7082438674175527E-3</v>
      </c>
      <c r="AL11" s="54">
        <f t="shared" si="11"/>
        <v>2172408</v>
      </c>
      <c r="AM11" s="12">
        <v>16</v>
      </c>
      <c r="AN11" s="13">
        <v>22827910</v>
      </c>
      <c r="AO11" s="13">
        <v>713372.1875</v>
      </c>
      <c r="AP11" s="13">
        <v>30998.28125</v>
      </c>
      <c r="AQ11" s="14">
        <v>3199376</v>
      </c>
      <c r="AR11" s="14">
        <v>1343944</v>
      </c>
      <c r="AS11" s="14">
        <v>828464</v>
      </c>
      <c r="AT11" s="14">
        <v>1026968</v>
      </c>
      <c r="AU11" s="15">
        <v>67.758712500000001</v>
      </c>
      <c r="AV11" s="15">
        <v>69.713803124999998</v>
      </c>
      <c r="AW11" s="15">
        <v>32.946028124999998</v>
      </c>
      <c r="AX11" s="15">
        <v>39.689184375000004</v>
      </c>
      <c r="AY11" s="15">
        <v>32.349640624999999</v>
      </c>
      <c r="AZ11" s="16">
        <v>3370.06</v>
      </c>
      <c r="BA11" s="16">
        <v>5346.62</v>
      </c>
      <c r="BB11" s="16">
        <v>51.176000000000002</v>
      </c>
      <c r="BC11" s="16">
        <v>22.890999999999998</v>
      </c>
      <c r="BE11" s="51">
        <f t="shared" si="12"/>
        <v>1.1190780363972044</v>
      </c>
      <c r="BF11" s="17">
        <f t="shared" si="13"/>
        <v>1.0055721378826078E-2</v>
      </c>
      <c r="BG11" s="17">
        <f t="shared" si="14"/>
        <v>4.9074147728046524E-3</v>
      </c>
      <c r="BH11" s="17"/>
      <c r="BJ11" s="51"/>
      <c r="BK11" s="51"/>
      <c r="BL11" s="51"/>
      <c r="BM11" s="51"/>
      <c r="BN11" s="51"/>
      <c r="BP11" s="51"/>
      <c r="BQ11" s="51"/>
      <c r="BR11" s="51"/>
      <c r="BS11" s="51"/>
      <c r="BT11" s="51"/>
    </row>
    <row r="12" spans="1:72" outlineLevel="1" x14ac:dyDescent="0.45">
      <c r="A12" s="18"/>
      <c r="B12" s="18" t="s">
        <v>57</v>
      </c>
      <c r="C12" s="19" t="s">
        <v>232</v>
      </c>
      <c r="D12" s="18">
        <v>218121242</v>
      </c>
      <c r="E12" s="19">
        <v>10</v>
      </c>
      <c r="F12" s="19">
        <v>32</v>
      </c>
      <c r="G12" s="19">
        <v>30</v>
      </c>
      <c r="I12" s="20">
        <f t="shared" si="0"/>
        <v>3.8493075000000001</v>
      </c>
      <c r="J12" s="21">
        <f t="shared" si="1"/>
        <v>1.8824062995203374E-2</v>
      </c>
      <c r="K12" s="21">
        <f t="shared" si="2"/>
        <v>1.141757665216302E-2</v>
      </c>
      <c r="L12" s="21">
        <f t="shared" si="3"/>
        <v>8.2770847233668322E-3</v>
      </c>
      <c r="M12" s="21">
        <f t="shared" si="4"/>
        <v>7.4064863430403534E-3</v>
      </c>
      <c r="N12" s="18">
        <f t="shared" si="5"/>
        <v>2490416</v>
      </c>
      <c r="O12" s="21">
        <v>16</v>
      </c>
      <c r="P12" s="22">
        <v>22569901</v>
      </c>
      <c r="Q12" s="22">
        <v>705309.40625</v>
      </c>
      <c r="R12" s="22">
        <v>24721.9375</v>
      </c>
      <c r="S12" s="23">
        <v>4105928</v>
      </c>
      <c r="T12" s="23">
        <v>1805408</v>
      </c>
      <c r="U12" s="23">
        <v>685008</v>
      </c>
      <c r="V12" s="23">
        <v>1615512</v>
      </c>
      <c r="W12" s="24">
        <v>69.009450000000001</v>
      </c>
      <c r="X12" s="24">
        <v>71.379971874999995</v>
      </c>
      <c r="Y12" s="24">
        <v>34.860587500000001</v>
      </c>
      <c r="Z12" s="24">
        <v>40.655971874999999</v>
      </c>
      <c r="AA12" s="24">
        <v>34.140081250000001</v>
      </c>
      <c r="AB12" s="25">
        <v>3873.43</v>
      </c>
      <c r="AC12" s="25">
        <v>8580.48</v>
      </c>
      <c r="AD12" s="25">
        <v>75.58</v>
      </c>
      <c r="AE12" s="25">
        <v>39.393000000000001</v>
      </c>
      <c r="AG12" s="20">
        <f t="shared" si="6"/>
        <v>4.2589874999999999</v>
      </c>
      <c r="AH12" s="21">
        <f t="shared" si="7"/>
        <v>2.0827499230909385E-2</v>
      </c>
      <c r="AI12" s="21">
        <f t="shared" si="8"/>
        <v>1.2675886010221783E-2</v>
      </c>
      <c r="AJ12" s="21">
        <f t="shared" si="9"/>
        <v>8.8777048133624695E-3</v>
      </c>
      <c r="AK12" s="21">
        <f t="shared" si="10"/>
        <v>8.1516132206876021E-3</v>
      </c>
      <c r="AL12" s="18">
        <f t="shared" si="11"/>
        <v>2764880</v>
      </c>
      <c r="AM12" s="21">
        <v>16</v>
      </c>
      <c r="AN12" s="22">
        <v>23181541</v>
      </c>
      <c r="AO12" s="22">
        <v>724423.15625</v>
      </c>
      <c r="AP12" s="22">
        <v>33612.71875</v>
      </c>
      <c r="AQ12" s="23">
        <v>4542920</v>
      </c>
      <c r="AR12" s="23">
        <v>1936416</v>
      </c>
      <c r="AS12" s="23">
        <v>828464</v>
      </c>
      <c r="AT12" s="23">
        <v>1778040</v>
      </c>
      <c r="AU12" s="24">
        <v>69.064575000000005</v>
      </c>
      <c r="AV12" s="24">
        <v>71.339509375000006</v>
      </c>
      <c r="AW12" s="24">
        <v>34.987537500000002</v>
      </c>
      <c r="AX12" s="24">
        <v>40.700465625</v>
      </c>
      <c r="AY12" s="24">
        <v>34.295634374999999</v>
      </c>
      <c r="AZ12" s="25">
        <v>3895.55</v>
      </c>
      <c r="BA12" s="25">
        <v>8475.98</v>
      </c>
      <c r="BB12" s="25">
        <v>54.613999999999997</v>
      </c>
      <c r="BC12" s="25">
        <v>28.245000000000001</v>
      </c>
      <c r="BE12" s="50">
        <f t="shared" si="12"/>
        <v>1.1102080937481931</v>
      </c>
      <c r="BF12" s="26">
        <f t="shared" si="13"/>
        <v>1.1348093171179331E-2</v>
      </c>
      <c r="BG12" s="26">
        <f t="shared" si="14"/>
        <v>2.0713963451798323E-3</v>
      </c>
      <c r="BH12" s="26"/>
      <c r="BJ12" s="50"/>
      <c r="BK12" s="50"/>
      <c r="BL12" s="50"/>
      <c r="BM12" s="50"/>
      <c r="BN12" s="50"/>
      <c r="BP12" s="50"/>
      <c r="BQ12" s="50"/>
      <c r="BR12" s="50"/>
      <c r="BS12" s="50"/>
      <c r="BT12" s="50"/>
    </row>
    <row r="13" spans="1:72" outlineLevel="1" x14ac:dyDescent="0.45">
      <c r="A13" s="54"/>
      <c r="B13" s="54" t="s">
        <v>57</v>
      </c>
      <c r="C13" s="10" t="s">
        <v>233</v>
      </c>
      <c r="D13" s="54">
        <v>218121242</v>
      </c>
      <c r="E13" s="10">
        <v>10</v>
      </c>
      <c r="F13" s="10">
        <v>32</v>
      </c>
      <c r="G13" s="10">
        <v>30</v>
      </c>
      <c r="I13" s="11">
        <f t="shared" si="0"/>
        <v>6.2049824999999998</v>
      </c>
      <c r="J13" s="12">
        <f t="shared" si="1"/>
        <v>3.0343894704212258E-2</v>
      </c>
      <c r="K13" s="12">
        <f t="shared" si="2"/>
        <v>1.5919990039301168E-2</v>
      </c>
      <c r="L13" s="12">
        <f t="shared" si="3"/>
        <v>1.2779498110504982E-2</v>
      </c>
      <c r="M13" s="12">
        <f t="shared" si="4"/>
        <v>1.4423904664911086E-2</v>
      </c>
      <c r="N13" s="54">
        <f t="shared" si="5"/>
        <v>3472488</v>
      </c>
      <c r="O13" s="12">
        <v>16</v>
      </c>
      <c r="P13" s="13">
        <v>23308443</v>
      </c>
      <c r="Q13" s="13">
        <v>728388.84375</v>
      </c>
      <c r="R13" s="13">
        <v>27991.21875</v>
      </c>
      <c r="S13" s="14">
        <v>6618648</v>
      </c>
      <c r="T13" s="14">
        <v>2787480</v>
      </c>
      <c r="U13" s="14">
        <v>685008</v>
      </c>
      <c r="V13" s="14">
        <v>3146160</v>
      </c>
      <c r="W13" s="15">
        <v>70.060287500000001</v>
      </c>
      <c r="X13" s="15">
        <v>72.567171875</v>
      </c>
      <c r="Y13" s="15">
        <v>37.05066875</v>
      </c>
      <c r="Z13" s="15">
        <v>41.679996875000001</v>
      </c>
      <c r="AA13" s="15">
        <v>36.076628124999999</v>
      </c>
      <c r="AB13" s="16">
        <v>3929.26</v>
      </c>
      <c r="AC13" s="16">
        <v>9029.7199999999993</v>
      </c>
      <c r="AD13" s="16">
        <v>78.597999999999999</v>
      </c>
      <c r="AE13" s="16">
        <v>40.573</v>
      </c>
      <c r="AG13" s="11">
        <f t="shared" si="6"/>
        <v>6.8635574999999998</v>
      </c>
      <c r="AH13" s="12">
        <f t="shared" si="7"/>
        <v>3.3564488872661016E-2</v>
      </c>
      <c r="AI13" s="12">
        <f t="shared" si="8"/>
        <v>1.7791426293088868E-2</v>
      </c>
      <c r="AJ13" s="12">
        <f t="shared" si="9"/>
        <v>1.3993245096229555E-2</v>
      </c>
      <c r="AK13" s="12">
        <f t="shared" si="10"/>
        <v>1.5773062579572145E-2</v>
      </c>
      <c r="AL13" s="54">
        <f t="shared" si="11"/>
        <v>3880688</v>
      </c>
      <c r="AM13" s="12">
        <v>16</v>
      </c>
      <c r="AN13" s="13">
        <v>24169200</v>
      </c>
      <c r="AO13" s="13">
        <v>755287.5</v>
      </c>
      <c r="AP13" s="13">
        <v>38439.9375</v>
      </c>
      <c r="AQ13" s="14">
        <v>7321128</v>
      </c>
      <c r="AR13" s="14">
        <v>3052224</v>
      </c>
      <c r="AS13" s="14">
        <v>828464</v>
      </c>
      <c r="AT13" s="14">
        <v>3440440</v>
      </c>
      <c r="AU13" s="15">
        <v>70.007553125000001</v>
      </c>
      <c r="AV13" s="15">
        <v>72.520443749999998</v>
      </c>
      <c r="AW13" s="15">
        <v>37.224134374999998</v>
      </c>
      <c r="AX13" s="15">
        <v>41.754678124999998</v>
      </c>
      <c r="AY13" s="15">
        <v>36.299624999999999</v>
      </c>
      <c r="AZ13" s="16">
        <v>4465.51</v>
      </c>
      <c r="BA13" s="16">
        <v>10167.9</v>
      </c>
      <c r="BB13" s="16">
        <v>73.593999999999994</v>
      </c>
      <c r="BC13" s="16">
        <v>34.353999999999999</v>
      </c>
      <c r="BE13" s="51">
        <f t="shared" si="12"/>
        <v>1.1175526020536286</v>
      </c>
      <c r="BF13" s="17">
        <f t="shared" si="13"/>
        <v>1.2465493766390084E-2</v>
      </c>
      <c r="BG13" s="17">
        <f t="shared" si="14"/>
        <v>5.414786820266082E-3</v>
      </c>
      <c r="BH13" s="17"/>
      <c r="BJ13" s="51"/>
      <c r="BK13" s="51"/>
      <c r="BL13" s="51"/>
      <c r="BM13" s="51"/>
      <c r="BN13" s="51"/>
      <c r="BP13" s="51"/>
      <c r="BQ13" s="51"/>
      <c r="BR13" s="51"/>
      <c r="BS13" s="51"/>
      <c r="BT13" s="51"/>
    </row>
    <row r="14" spans="1:72" outlineLevel="1" x14ac:dyDescent="0.45">
      <c r="A14" s="18"/>
      <c r="B14" s="37" t="s">
        <v>57</v>
      </c>
      <c r="C14" s="38" t="s">
        <v>234</v>
      </c>
      <c r="D14" s="37">
        <v>218121242</v>
      </c>
      <c r="E14" s="38">
        <v>10</v>
      </c>
      <c r="F14" s="38">
        <v>32</v>
      </c>
      <c r="G14" s="38">
        <v>30</v>
      </c>
      <c r="I14" s="39">
        <f t="shared" si="0"/>
        <v>12.240539999999999</v>
      </c>
      <c r="J14" s="40">
        <f t="shared" si="1"/>
        <v>5.9859259374655492E-2</v>
      </c>
      <c r="K14" s="40">
        <f t="shared" si="2"/>
        <v>2.6824237503654046E-2</v>
      </c>
      <c r="L14" s="40">
        <f t="shared" si="3"/>
        <v>2.0741492018461916E-2</v>
      </c>
      <c r="M14" s="40">
        <f t="shared" si="4"/>
        <v>3.3035021871001449E-2</v>
      </c>
      <c r="N14" s="37">
        <f t="shared" si="5"/>
        <v>5850936</v>
      </c>
      <c r="O14" s="40">
        <v>16</v>
      </c>
      <c r="P14" s="41">
        <v>22150010</v>
      </c>
      <c r="Q14" s="41">
        <v>692187.8125</v>
      </c>
      <c r="R14" s="41">
        <v>13331.5625</v>
      </c>
      <c r="S14" s="42">
        <v>13056576</v>
      </c>
      <c r="T14" s="42">
        <v>4524160</v>
      </c>
      <c r="U14" s="42">
        <v>1326776</v>
      </c>
      <c r="V14" s="42">
        <v>7205640</v>
      </c>
      <c r="W14" s="43">
        <v>70.920671874999996</v>
      </c>
      <c r="X14" s="43">
        <v>74.632662499999995</v>
      </c>
      <c r="Y14" s="43">
        <v>39.477800000000002</v>
      </c>
      <c r="Z14" s="43">
        <v>42.980525</v>
      </c>
      <c r="AA14" s="43">
        <v>38.260321875000002</v>
      </c>
      <c r="AB14" s="44">
        <v>3690.14</v>
      </c>
      <c r="AC14" s="44">
        <v>9967.5400000000009</v>
      </c>
      <c r="AD14" s="44">
        <v>61.530999999999999</v>
      </c>
      <c r="AE14" s="44">
        <v>36.116999999999997</v>
      </c>
      <c r="AG14" s="39">
        <f t="shared" si="6"/>
        <v>13.4588775</v>
      </c>
      <c r="AH14" s="40">
        <f t="shared" si="7"/>
        <v>6.5817230217311895E-2</v>
      </c>
      <c r="AI14" s="40">
        <f t="shared" si="8"/>
        <v>3.045154125795781E-2</v>
      </c>
      <c r="AJ14" s="40">
        <f t="shared" si="9"/>
        <v>2.2614505376784898E-2</v>
      </c>
      <c r="AK14" s="40">
        <f t="shared" si="10"/>
        <v>3.5365688959354082E-2</v>
      </c>
      <c r="AL14" s="37">
        <f t="shared" si="11"/>
        <v>6642128</v>
      </c>
      <c r="AM14" s="40">
        <v>16</v>
      </c>
      <c r="AN14" s="41">
        <v>22627613</v>
      </c>
      <c r="AO14" s="41">
        <v>707112.90625</v>
      </c>
      <c r="AP14" s="41">
        <v>19048.96875</v>
      </c>
      <c r="AQ14" s="42">
        <v>14356136</v>
      </c>
      <c r="AR14" s="42">
        <v>4932704</v>
      </c>
      <c r="AS14" s="42">
        <v>1709424</v>
      </c>
      <c r="AT14" s="42">
        <v>7714008</v>
      </c>
      <c r="AU14" s="43">
        <v>71.111996875000003</v>
      </c>
      <c r="AV14" s="43">
        <v>74.596696875000006</v>
      </c>
      <c r="AW14" s="43">
        <v>39.632540624999997</v>
      </c>
      <c r="AX14" s="43">
        <v>43.067009374999998</v>
      </c>
      <c r="AY14" s="43">
        <v>38.567268749999997</v>
      </c>
      <c r="AZ14" s="44">
        <v>2578.15</v>
      </c>
      <c r="BA14" s="44">
        <v>5625.18</v>
      </c>
      <c r="BB14" s="44">
        <v>78.641000000000005</v>
      </c>
      <c r="BC14" s="44">
        <v>42.213000000000001</v>
      </c>
      <c r="BE14" s="45">
        <f t="shared" si="12"/>
        <v>1.1352248597489358</v>
      </c>
      <c r="BF14" s="46">
        <f t="shared" si="13"/>
        <v>7.6790401537571683E-3</v>
      </c>
      <c r="BG14" s="46">
        <f t="shared" si="14"/>
        <v>1.454645367871843E-2</v>
      </c>
      <c r="BH14" s="46"/>
      <c r="BJ14" s="45"/>
      <c r="BK14" s="45"/>
      <c r="BL14" s="45"/>
      <c r="BM14" s="45"/>
      <c r="BN14" s="45"/>
      <c r="BP14" s="45"/>
      <c r="BQ14" s="45"/>
      <c r="BR14" s="45"/>
      <c r="BS14" s="45"/>
      <c r="BT14" s="45"/>
    </row>
    <row r="15" spans="1:72" x14ac:dyDescent="0.45">
      <c r="A15" s="54"/>
      <c r="B15" s="54" t="s">
        <v>62</v>
      </c>
      <c r="C15" s="10" t="s">
        <v>230</v>
      </c>
      <c r="D15" s="54">
        <v>322589704</v>
      </c>
      <c r="E15" s="10">
        <v>10</v>
      </c>
      <c r="F15" s="10">
        <v>32</v>
      </c>
      <c r="G15" s="10">
        <v>30</v>
      </c>
      <c r="I15" s="11">
        <f t="shared" si="0"/>
        <v>1.6267125</v>
      </c>
      <c r="J15" s="12">
        <f t="shared" si="1"/>
        <v>5.3788449491246008E-3</v>
      </c>
      <c r="K15" s="12">
        <f t="shared" si="2"/>
        <v>4.5265920824305046E-3</v>
      </c>
      <c r="L15" s="12">
        <f t="shared" si="3"/>
        <v>2.3656551667253461E-3</v>
      </c>
      <c r="M15" s="12">
        <f t="shared" si="4"/>
        <v>8.5225286669409633E-4</v>
      </c>
      <c r="N15" s="54">
        <f t="shared" si="5"/>
        <v>1460232</v>
      </c>
      <c r="O15" s="12">
        <v>16</v>
      </c>
      <c r="P15" s="13">
        <v>32415907</v>
      </c>
      <c r="Q15" s="13">
        <v>1012997.09375</v>
      </c>
      <c r="R15" s="13">
        <v>32038.09375</v>
      </c>
      <c r="S15" s="14">
        <v>1735160</v>
      </c>
      <c r="T15" s="14">
        <v>763136</v>
      </c>
      <c r="U15" s="14">
        <v>697096</v>
      </c>
      <c r="V15" s="14">
        <v>274928</v>
      </c>
      <c r="W15" s="15">
        <v>66.298768749999994</v>
      </c>
      <c r="X15" s="15">
        <v>67.850190624999996</v>
      </c>
      <c r="Y15" s="15">
        <v>29.251728125</v>
      </c>
      <c r="Z15" s="15">
        <v>43.4881125</v>
      </c>
      <c r="AA15" s="15">
        <v>43.716256250000001</v>
      </c>
      <c r="AB15" s="16">
        <v>6704.89</v>
      </c>
      <c r="AC15" s="16">
        <v>7000</v>
      </c>
      <c r="AD15" s="16">
        <v>65.510000000000005</v>
      </c>
      <c r="AE15" s="16">
        <v>21.077000000000002</v>
      </c>
      <c r="AG15" s="11">
        <f t="shared" si="6"/>
        <v>2.10582</v>
      </c>
      <c r="AH15" s="12">
        <f t="shared" si="7"/>
        <v>6.9630492608654367E-3</v>
      </c>
      <c r="AI15" s="12">
        <f t="shared" si="8"/>
        <v>5.938962019692978E-3</v>
      </c>
      <c r="AJ15" s="12">
        <f t="shared" si="9"/>
        <v>2.7685942512287991E-3</v>
      </c>
      <c r="AK15" s="12">
        <f t="shared" si="10"/>
        <v>1.0240872411724584E-3</v>
      </c>
      <c r="AL15" s="54">
        <f t="shared" si="11"/>
        <v>1915848</v>
      </c>
      <c r="AM15" s="12">
        <v>16</v>
      </c>
      <c r="AN15" s="13">
        <v>33247855</v>
      </c>
      <c r="AO15" s="13">
        <v>1038995.46875</v>
      </c>
      <c r="AP15" s="13">
        <v>43960.59375</v>
      </c>
      <c r="AQ15" s="14">
        <v>2246208</v>
      </c>
      <c r="AR15" s="14">
        <v>893120</v>
      </c>
      <c r="AS15" s="14">
        <v>1022728</v>
      </c>
      <c r="AT15" s="14">
        <v>330360</v>
      </c>
      <c r="AU15" s="15">
        <v>66.351603124999997</v>
      </c>
      <c r="AV15" s="15">
        <v>67.896109374999995</v>
      </c>
      <c r="AW15" s="15">
        <v>29.339753125000001</v>
      </c>
      <c r="AX15" s="15">
        <v>43.347971874999999</v>
      </c>
      <c r="AY15" s="15">
        <v>43.657084374999997</v>
      </c>
      <c r="AZ15" s="16">
        <v>3763.18</v>
      </c>
      <c r="BA15" s="16">
        <v>3691.1</v>
      </c>
      <c r="BB15" s="16">
        <v>109.289</v>
      </c>
      <c r="BC15" s="16">
        <v>35.024000000000001</v>
      </c>
      <c r="BE15" s="51">
        <f t="shared" si="12"/>
        <v>1.3120161727725457</v>
      </c>
      <c r="BF15" s="17">
        <f t="shared" si="13"/>
        <v>1.0683635143793398E-2</v>
      </c>
      <c r="BG15" s="17">
        <f t="shared" si="14"/>
        <v>1.137079440481259E-2</v>
      </c>
      <c r="BH15" s="17">
        <f t="array" ref="BH15">AVERAGE(AL15:AL19/AQ15:AQ19) - AVERAGE(N15:N19/S15:S19)</f>
        <v>1.4200307863240891E-2</v>
      </c>
      <c r="BJ15" s="51">
        <f>IF( OR(ISBLANK(N15:N19),ISBLANK(AL15:AL19), ISBLANK(W15:W19),ISBLANK(AU15:AU19)), "·", bdRateExtend( N15:N19,W15:W19, AL15:AL19,AU15:AU19))</f>
        <v>0.24103196512199165</v>
      </c>
      <c r="BK15" s="51">
        <f>IF( OR(ISBLANK(N15:N19),ISBLANK(AL15:AL19), ISBLANK(X15:X19),ISBLANK(AV15:AV19)), "·", bdRateExtend( N15:N19,X15:X19, AL15:AL19,AV15:AV19))</f>
        <v>0.25261617631419631</v>
      </c>
      <c r="BL15" s="51">
        <f>IF( OR(ISBLANK(V15:V19),ISBLANK(AT15:AT19), ISBLANK(Y15:Y19),ISBLANK(AW15:AW19)), "·", bdRateExtend( V15:V19,Y15:Y19, AT15:AT19,AW15:AW19))</f>
        <v>8.1442355945508638E-2</v>
      </c>
      <c r="BM15" s="51">
        <f>IF( OR(ISBLANK(V15:V19),ISBLANK(AT15:AT19), ISBLANK(Z15:Z19),ISBLANK(AX15:AX19)), "·", bdRateExtend( V15:V19,Z15:Z19, AT15:AT19,AX15:AX19))</f>
        <v>0.13180313949255051</v>
      </c>
      <c r="BN15" s="51">
        <f>IF( OR(ISBLANK(V15:V19),ISBLANK(AT15:AT19), ISBLANK(AA15:AA19),ISBLANK(AY15:AY19)), "·", bdRateExtend( V15:V19,AA15:AA19, AT15:AT19,AY15:AY19))</f>
        <v>0.11533079455370809</v>
      </c>
      <c r="BP15" s="51">
        <f>IF( OR(ISBLANK(S15:S19),ISBLANK(AQ15:AQ19), ISBLANK(W15:W19),ISBLANK(AU15:AU19)), "·", bdRateExtend( S15:S19,W15:W19, AQ15:AQ19,AU15:AU19))</f>
        <v>0.21274254402854775</v>
      </c>
      <c r="BQ15" s="51">
        <f>IF( OR(ISBLANK(S15:S19),ISBLANK(AQ15:AQ19), ISBLANK(X15:X19),ISBLANK(AV15:AV19)), "·", bdRateExtend( S15:S19,X15:X19, AQ15:AQ19,AV15:AV19))</f>
        <v>0.2267845092255345</v>
      </c>
      <c r="BR15" s="51">
        <f>IF( OR(ISBLANK(S15:S19),ISBLANK(AQ15:AQ19), ISBLANK(Y15:Y19),ISBLANK(AW15:AW19)), "·", bdRateExtend( S15:S19,Y15:Y19, AQ15:AQ19,AW15:AW19))</f>
        <v>0.15908058302879979</v>
      </c>
      <c r="BS15" s="51">
        <f>IF( OR(ISBLANK(S15:S19),ISBLANK(AQ15:AQ19), ISBLANK(Z15:Z19),ISBLANK(AX15:AX19)), "·", bdRateExtend( S15:S19,Z15:Z19, AQ15:AQ19,AX15:AX19))</f>
        <v>0.18114754566742985</v>
      </c>
      <c r="BT15" s="51">
        <f>IF( OR(ISBLANK(S15:S19),ISBLANK(AQ15:AQ19), ISBLANK(AA15:AA19),ISBLANK(AY15:AY19)), "·", bdRateExtend( S15:S19,AA15:AA19, AQ15:AQ19,AY15:AY19))</f>
        <v>0.17283115705566288</v>
      </c>
    </row>
    <row r="16" spans="1:72" outlineLevel="1" x14ac:dyDescent="0.45">
      <c r="A16" s="18"/>
      <c r="B16" s="18" t="s">
        <v>62</v>
      </c>
      <c r="C16" s="19" t="s">
        <v>231</v>
      </c>
      <c r="D16" s="18">
        <v>322589704</v>
      </c>
      <c r="E16" s="19">
        <v>10</v>
      </c>
      <c r="F16" s="19">
        <v>32</v>
      </c>
      <c r="G16" s="19">
        <v>30</v>
      </c>
      <c r="I16" s="20">
        <f t="shared" si="0"/>
        <v>2.1293625</v>
      </c>
      <c r="J16" s="21">
        <f t="shared" si="1"/>
        <v>7.040894274790618E-3</v>
      </c>
      <c r="K16" s="21">
        <f t="shared" si="2"/>
        <v>5.4569131567819657E-3</v>
      </c>
      <c r="L16" s="21">
        <f t="shared" si="3"/>
        <v>3.2959762410768078E-3</v>
      </c>
      <c r="M16" s="21">
        <f t="shared" si="4"/>
        <v>1.5839811180086516E-3</v>
      </c>
      <c r="N16" s="18">
        <f t="shared" si="5"/>
        <v>1760344</v>
      </c>
      <c r="O16" s="21">
        <v>16</v>
      </c>
      <c r="P16" s="22">
        <v>33874164</v>
      </c>
      <c r="Q16" s="22">
        <v>1058567.625</v>
      </c>
      <c r="R16" s="22">
        <v>36864.21875</v>
      </c>
      <c r="S16" s="23">
        <v>2271320</v>
      </c>
      <c r="T16" s="23">
        <v>1063248</v>
      </c>
      <c r="U16" s="23">
        <v>697096</v>
      </c>
      <c r="V16" s="23">
        <v>510976</v>
      </c>
      <c r="W16" s="24">
        <v>68.029634375000001</v>
      </c>
      <c r="X16" s="24">
        <v>70.006815625000002</v>
      </c>
      <c r="Y16" s="24">
        <v>31.568781250000001</v>
      </c>
      <c r="Z16" s="24">
        <v>44.070134375000002</v>
      </c>
      <c r="AA16" s="24">
        <v>44.4230625</v>
      </c>
      <c r="AB16" s="25">
        <v>5821.87</v>
      </c>
      <c r="AC16" s="25">
        <v>6790.05</v>
      </c>
      <c r="AD16" s="25">
        <v>64.253</v>
      </c>
      <c r="AE16" s="25">
        <v>20.393999999999998</v>
      </c>
      <c r="AG16" s="20">
        <f t="shared" si="6"/>
        <v>2.6926950000000001</v>
      </c>
      <c r="AH16" s="21">
        <f t="shared" si="7"/>
        <v>8.9035947656903522E-3</v>
      </c>
      <c r="AI16" s="21">
        <f t="shared" si="8"/>
        <v>6.9845998556730127E-3</v>
      </c>
      <c r="AJ16" s="21">
        <f t="shared" si="9"/>
        <v>3.8142320872088342E-3</v>
      </c>
      <c r="AK16" s="21">
        <f t="shared" si="10"/>
        <v>1.9189949100173389E-3</v>
      </c>
      <c r="AL16" s="18">
        <f t="shared" si="11"/>
        <v>2253160</v>
      </c>
      <c r="AM16" s="21">
        <v>16</v>
      </c>
      <c r="AN16" s="22">
        <v>34816360</v>
      </c>
      <c r="AO16" s="22">
        <v>1088011.25</v>
      </c>
      <c r="AP16" s="22">
        <v>51704.53125</v>
      </c>
      <c r="AQ16" s="23">
        <v>2872208</v>
      </c>
      <c r="AR16" s="23">
        <v>1230432</v>
      </c>
      <c r="AS16" s="23">
        <v>1022728</v>
      </c>
      <c r="AT16" s="23">
        <v>619048</v>
      </c>
      <c r="AU16" s="24">
        <v>68.081896874999998</v>
      </c>
      <c r="AV16" s="24">
        <v>70.071309374999998</v>
      </c>
      <c r="AW16" s="24">
        <v>31.733453125</v>
      </c>
      <c r="AX16" s="24">
        <v>44.048818750000002</v>
      </c>
      <c r="AY16" s="24">
        <v>44.386693749999999</v>
      </c>
      <c r="AZ16" s="25">
        <v>3930.45</v>
      </c>
      <c r="BA16" s="25">
        <v>4417.1400000000003</v>
      </c>
      <c r="BB16" s="25">
        <v>99.772000000000006</v>
      </c>
      <c r="BC16" s="25">
        <v>31.768000000000001</v>
      </c>
      <c r="BE16" s="50">
        <f t="shared" si="12"/>
        <v>1.2799543725544553</v>
      </c>
      <c r="BF16" s="26">
        <f t="shared" si="13"/>
        <v>1.2697432449869359E-2</v>
      </c>
      <c r="BG16" s="26">
        <f t="shared" si="14"/>
        <v>9.4383890819245142E-3</v>
      </c>
      <c r="BH16" s="26"/>
      <c r="BJ16" s="50"/>
      <c r="BK16" s="50"/>
      <c r="BL16" s="50"/>
      <c r="BM16" s="50"/>
      <c r="BN16" s="50"/>
      <c r="BP16" s="50"/>
      <c r="BQ16" s="50"/>
      <c r="BR16" s="50"/>
      <c r="BS16" s="50"/>
      <c r="BT16" s="50"/>
    </row>
    <row r="17" spans="1:72" outlineLevel="1" x14ac:dyDescent="0.45">
      <c r="A17" s="54"/>
      <c r="B17" s="54" t="s">
        <v>62</v>
      </c>
      <c r="C17" s="10" t="s">
        <v>232</v>
      </c>
      <c r="D17" s="54">
        <v>322589704</v>
      </c>
      <c r="E17" s="10">
        <v>10</v>
      </c>
      <c r="F17" s="10">
        <v>32</v>
      </c>
      <c r="G17" s="10">
        <v>30</v>
      </c>
      <c r="I17" s="11">
        <f t="shared" si="0"/>
        <v>2.9996174999999998</v>
      </c>
      <c r="J17" s="12">
        <f t="shared" si="1"/>
        <v>9.9184566659325252E-3</v>
      </c>
      <c r="K17" s="12">
        <f t="shared" si="2"/>
        <v>6.6616633245058562E-3</v>
      </c>
      <c r="L17" s="12">
        <f t="shared" si="3"/>
        <v>4.5007264088006973E-3</v>
      </c>
      <c r="M17" s="12">
        <f t="shared" si="4"/>
        <v>3.2567933414266686E-3</v>
      </c>
      <c r="N17" s="54">
        <f t="shared" si="5"/>
        <v>2148984</v>
      </c>
      <c r="O17" s="12">
        <v>16</v>
      </c>
      <c r="P17" s="13">
        <v>33778649</v>
      </c>
      <c r="Q17" s="13">
        <v>1055582.78125</v>
      </c>
      <c r="R17" s="13">
        <v>37421.1875</v>
      </c>
      <c r="S17" s="14">
        <v>3199592</v>
      </c>
      <c r="T17" s="14">
        <v>1451888</v>
      </c>
      <c r="U17" s="14">
        <v>697096</v>
      </c>
      <c r="V17" s="14">
        <v>1050608</v>
      </c>
      <c r="W17" s="15">
        <v>69.351503124999994</v>
      </c>
      <c r="X17" s="15">
        <v>71.840315625000002</v>
      </c>
      <c r="Y17" s="15">
        <v>33.95168125</v>
      </c>
      <c r="Z17" s="15">
        <v>45.159981250000001</v>
      </c>
      <c r="AA17" s="15">
        <v>45.5388375</v>
      </c>
      <c r="AB17" s="16">
        <v>5600.35</v>
      </c>
      <c r="AC17" s="16">
        <v>7345.84</v>
      </c>
      <c r="AD17" s="16">
        <v>95.096000000000004</v>
      </c>
      <c r="AE17" s="16">
        <v>30.071999999999999</v>
      </c>
      <c r="AG17" s="11">
        <f t="shared" si="6"/>
        <v>3.6644549999999998</v>
      </c>
      <c r="AH17" s="12">
        <f t="shared" si="7"/>
        <v>1.2116790931430347E-2</v>
      </c>
      <c r="AI17" s="12">
        <f t="shared" si="8"/>
        <v>8.2393454194061942E-3</v>
      </c>
      <c r="AJ17" s="12">
        <f t="shared" si="9"/>
        <v>5.0689776509420153E-3</v>
      </c>
      <c r="AK17" s="12">
        <f t="shared" si="10"/>
        <v>3.8774455120241533E-3</v>
      </c>
      <c r="AL17" s="54">
        <f t="shared" si="11"/>
        <v>2657928</v>
      </c>
      <c r="AM17" s="12">
        <v>16</v>
      </c>
      <c r="AN17" s="13">
        <v>34925440</v>
      </c>
      <c r="AO17" s="13">
        <v>1091420</v>
      </c>
      <c r="AP17" s="13">
        <v>53141.125</v>
      </c>
      <c r="AQ17" s="14">
        <v>3908752</v>
      </c>
      <c r="AR17" s="14">
        <v>1635200</v>
      </c>
      <c r="AS17" s="14">
        <v>1022728</v>
      </c>
      <c r="AT17" s="14">
        <v>1250824</v>
      </c>
      <c r="AU17" s="15">
        <v>69.481362500000003</v>
      </c>
      <c r="AV17" s="15">
        <v>71.854721874999996</v>
      </c>
      <c r="AW17" s="15">
        <v>34.238053125</v>
      </c>
      <c r="AX17" s="15">
        <v>45.229409375000003</v>
      </c>
      <c r="AY17" s="15">
        <v>45.726493750000003</v>
      </c>
      <c r="AZ17" s="16">
        <v>4898.5200000000004</v>
      </c>
      <c r="BA17" s="16">
        <v>5263.18</v>
      </c>
      <c r="BB17" s="16">
        <v>98.141000000000005</v>
      </c>
      <c r="BC17" s="16">
        <v>34.731000000000002</v>
      </c>
      <c r="BE17" s="51">
        <f t="shared" si="12"/>
        <v>1.2368300555052991</v>
      </c>
      <c r="BF17" s="17">
        <f t="shared" si="13"/>
        <v>1.3239157872600146E-2</v>
      </c>
      <c r="BG17" s="17">
        <f t="shared" si="14"/>
        <v>8.3508891682636532E-3</v>
      </c>
      <c r="BH17" s="17"/>
      <c r="BJ17" s="51"/>
      <c r="BK17" s="51"/>
      <c r="BL17" s="51"/>
      <c r="BM17" s="51"/>
      <c r="BN17" s="51"/>
      <c r="BP17" s="51"/>
      <c r="BQ17" s="51"/>
      <c r="BR17" s="51"/>
      <c r="BS17" s="51"/>
      <c r="BT17" s="51"/>
    </row>
    <row r="18" spans="1:72" outlineLevel="1" x14ac:dyDescent="0.45">
      <c r="A18" s="18"/>
      <c r="B18" s="18" t="s">
        <v>62</v>
      </c>
      <c r="C18" s="19" t="s">
        <v>233</v>
      </c>
      <c r="D18" s="18">
        <v>322589704</v>
      </c>
      <c r="E18" s="19">
        <v>10</v>
      </c>
      <c r="F18" s="19">
        <v>32</v>
      </c>
      <c r="G18" s="19">
        <v>30</v>
      </c>
      <c r="I18" s="20">
        <f t="shared" si="0"/>
        <v>5.2765500000000003</v>
      </c>
      <c r="J18" s="21">
        <f t="shared" si="1"/>
        <v>1.7447302037885252E-2</v>
      </c>
      <c r="K18" s="21">
        <f t="shared" si="2"/>
        <v>9.9237637168977967E-3</v>
      </c>
      <c r="L18" s="21">
        <f t="shared" si="3"/>
        <v>7.7628268011926379E-3</v>
      </c>
      <c r="M18" s="21">
        <f t="shared" si="4"/>
        <v>7.5235383209874551E-3</v>
      </c>
      <c r="N18" s="18">
        <f t="shared" si="5"/>
        <v>3201304</v>
      </c>
      <c r="O18" s="21">
        <v>16</v>
      </c>
      <c r="P18" s="22">
        <v>34914325</v>
      </c>
      <c r="Q18" s="22">
        <v>1091072.65625</v>
      </c>
      <c r="R18" s="22">
        <v>41603.21875</v>
      </c>
      <c r="S18" s="23">
        <v>5628320</v>
      </c>
      <c r="T18" s="23">
        <v>2504208</v>
      </c>
      <c r="U18" s="23">
        <v>697096</v>
      </c>
      <c r="V18" s="23">
        <v>2427016</v>
      </c>
      <c r="W18" s="24">
        <v>70.529849999999996</v>
      </c>
      <c r="X18" s="24">
        <v>73.133384375000006</v>
      </c>
      <c r="Y18" s="24">
        <v>36.284100000000002</v>
      </c>
      <c r="Z18" s="24">
        <v>46.412684374999998</v>
      </c>
      <c r="AA18" s="24">
        <v>47.006612500000003</v>
      </c>
      <c r="AB18" s="25">
        <v>6462.36</v>
      </c>
      <c r="AC18" s="25">
        <v>9127.16</v>
      </c>
      <c r="AD18" s="25">
        <v>111.696</v>
      </c>
      <c r="AE18" s="25">
        <v>37.165999999999997</v>
      </c>
      <c r="AG18" s="20">
        <f t="shared" si="6"/>
        <v>6.28254</v>
      </c>
      <c r="AH18" s="21">
        <f t="shared" si="7"/>
        <v>2.0773682225146282E-2</v>
      </c>
      <c r="AI18" s="21">
        <f t="shared" si="8"/>
        <v>1.2071333807975471E-2</v>
      </c>
      <c r="AJ18" s="21">
        <f t="shared" si="9"/>
        <v>8.9009660395112915E-3</v>
      </c>
      <c r="AK18" s="21">
        <f t="shared" si="10"/>
        <v>8.7023484171708104E-3</v>
      </c>
      <c r="AL18" s="18">
        <f t="shared" si="11"/>
        <v>3894088</v>
      </c>
      <c r="AM18" s="21">
        <v>16</v>
      </c>
      <c r="AN18" s="22">
        <v>36293645</v>
      </c>
      <c r="AO18" s="22">
        <v>1134176.40625</v>
      </c>
      <c r="AP18" s="22">
        <v>59970.28125</v>
      </c>
      <c r="AQ18" s="23">
        <v>6701376</v>
      </c>
      <c r="AR18" s="23">
        <v>2871360</v>
      </c>
      <c r="AS18" s="23">
        <v>1022728</v>
      </c>
      <c r="AT18" s="23">
        <v>2807288</v>
      </c>
      <c r="AU18" s="24">
        <v>70.494756249999995</v>
      </c>
      <c r="AV18" s="24">
        <v>73.131900000000002</v>
      </c>
      <c r="AW18" s="24">
        <v>36.643953125000003</v>
      </c>
      <c r="AX18" s="24">
        <v>46.50413125</v>
      </c>
      <c r="AY18" s="24">
        <v>47.108437500000001</v>
      </c>
      <c r="AZ18" s="25">
        <v>5644.6</v>
      </c>
      <c r="BA18" s="25">
        <v>8131.33</v>
      </c>
      <c r="BB18" s="25">
        <v>75.706000000000003</v>
      </c>
      <c r="BC18" s="25">
        <v>26.279</v>
      </c>
      <c r="BE18" s="50">
        <f t="shared" si="12"/>
        <v>1.2164068142232041</v>
      </c>
      <c r="BF18" s="26">
        <f t="shared" si="13"/>
        <v>1.4745053759912113E-2</v>
      </c>
      <c r="BG18" s="26">
        <f t="shared" si="14"/>
        <v>1.2302822787775725E-2</v>
      </c>
      <c r="BH18" s="26"/>
      <c r="BJ18" s="50"/>
      <c r="BK18" s="50"/>
      <c r="BL18" s="50"/>
      <c r="BM18" s="50"/>
      <c r="BN18" s="50"/>
      <c r="BP18" s="50"/>
      <c r="BQ18" s="50"/>
      <c r="BR18" s="50"/>
      <c r="BS18" s="50"/>
      <c r="BT18" s="50"/>
    </row>
    <row r="19" spans="1:72" outlineLevel="1" x14ac:dyDescent="0.45">
      <c r="A19" s="54"/>
      <c r="B19" s="27" t="s">
        <v>62</v>
      </c>
      <c r="C19" s="28" t="s">
        <v>234</v>
      </c>
      <c r="D19" s="27">
        <v>322589704</v>
      </c>
      <c r="E19" s="28">
        <v>10</v>
      </c>
      <c r="F19" s="28">
        <v>32</v>
      </c>
      <c r="G19" s="28">
        <v>30</v>
      </c>
      <c r="I19" s="29">
        <f t="shared" si="0"/>
        <v>11.4147675</v>
      </c>
      <c r="J19" s="30">
        <f t="shared" si="1"/>
        <v>3.7743771264317848E-2</v>
      </c>
      <c r="K19" s="30">
        <f t="shared" si="2"/>
        <v>1.7450451549439409E-2</v>
      </c>
      <c r="L19" s="30">
        <f t="shared" si="3"/>
        <v>1.2811841012755943E-2</v>
      </c>
      <c r="M19" s="30">
        <f t="shared" si="4"/>
        <v>2.0293319714878438E-2</v>
      </c>
      <c r="N19" s="27">
        <f t="shared" si="5"/>
        <v>5629336</v>
      </c>
      <c r="O19" s="30">
        <v>16</v>
      </c>
      <c r="P19" s="31">
        <v>33019287</v>
      </c>
      <c r="Q19" s="31">
        <v>1031852.71875</v>
      </c>
      <c r="R19" s="31">
        <v>17790.15625</v>
      </c>
      <c r="S19" s="32">
        <v>12175752</v>
      </c>
      <c r="T19" s="32">
        <v>4132968</v>
      </c>
      <c r="U19" s="32">
        <v>1496368</v>
      </c>
      <c r="V19" s="32">
        <v>6546416</v>
      </c>
      <c r="W19" s="33">
        <v>71.185568750000002</v>
      </c>
      <c r="X19" s="33">
        <v>75.071018749999993</v>
      </c>
      <c r="Y19" s="33">
        <v>38.708165624999999</v>
      </c>
      <c r="Z19" s="33">
        <v>48.191471874999998</v>
      </c>
      <c r="AA19" s="33">
        <v>48.813737500000002</v>
      </c>
      <c r="AB19" s="34">
        <v>5419.74</v>
      </c>
      <c r="AC19" s="34">
        <v>8427.15</v>
      </c>
      <c r="AD19" s="34">
        <v>93.16</v>
      </c>
      <c r="AE19" s="34">
        <v>32.299999999999997</v>
      </c>
      <c r="AG19" s="29">
        <f t="shared" si="6"/>
        <v>13.148047500000001</v>
      </c>
      <c r="AH19" s="30">
        <f t="shared" si="7"/>
        <v>4.3474989517954359E-2</v>
      </c>
      <c r="AI19" s="30">
        <f t="shared" si="8"/>
        <v>2.1384414674313349E-2</v>
      </c>
      <c r="AJ19" s="30">
        <f t="shared" si="9"/>
        <v>1.4598010852820026E-2</v>
      </c>
      <c r="AK19" s="30">
        <f t="shared" si="10"/>
        <v>2.2090574843641009E-2</v>
      </c>
      <c r="AL19" s="27">
        <f t="shared" si="11"/>
        <v>6898392</v>
      </c>
      <c r="AM19" s="30">
        <v>16</v>
      </c>
      <c r="AN19" s="31">
        <v>33826932</v>
      </c>
      <c r="AO19" s="31">
        <v>1057091.625</v>
      </c>
      <c r="AP19" s="31">
        <v>27248.96875</v>
      </c>
      <c r="AQ19" s="32">
        <v>14024584</v>
      </c>
      <c r="AR19" s="32">
        <v>4709168</v>
      </c>
      <c r="AS19" s="32">
        <v>2189224</v>
      </c>
      <c r="AT19" s="32">
        <v>7126192</v>
      </c>
      <c r="AU19" s="33">
        <v>71.428718750000002</v>
      </c>
      <c r="AV19" s="33">
        <v>74.996946875000006</v>
      </c>
      <c r="AW19" s="33">
        <v>38.977625000000003</v>
      </c>
      <c r="AX19" s="33">
        <v>48.292615625000003</v>
      </c>
      <c r="AY19" s="33">
        <v>48.923506250000003</v>
      </c>
      <c r="AZ19" s="34">
        <v>5571.3</v>
      </c>
      <c r="BA19" s="34">
        <v>8499.25</v>
      </c>
      <c r="BB19" s="34">
        <v>77.680999999999997</v>
      </c>
      <c r="BC19" s="34">
        <v>29.919</v>
      </c>
      <c r="BE19" s="35">
        <f t="shared" si="12"/>
        <v>1.2254361793291428</v>
      </c>
      <c r="BF19" s="36">
        <f t="shared" si="13"/>
        <v>8.5363167268434764E-3</v>
      </c>
      <c r="BG19" s="36">
        <f t="shared" si="14"/>
        <v>2.953864387342886E-2</v>
      </c>
      <c r="BH19" s="36"/>
      <c r="BJ19" s="35"/>
      <c r="BK19" s="35"/>
      <c r="BL19" s="35"/>
      <c r="BM19" s="35"/>
      <c r="BN19" s="35"/>
      <c r="BP19" s="35"/>
      <c r="BQ19" s="35"/>
      <c r="BR19" s="35"/>
      <c r="BS19" s="35"/>
      <c r="BT19" s="35"/>
    </row>
    <row r="20" spans="1:72" x14ac:dyDescent="0.45">
      <c r="A20" s="18"/>
      <c r="B20" s="18" t="s">
        <v>68</v>
      </c>
      <c r="C20" s="19" t="s">
        <v>230</v>
      </c>
      <c r="D20" s="18">
        <v>250602891</v>
      </c>
      <c r="E20" s="19">
        <v>10</v>
      </c>
      <c r="F20" s="19">
        <v>32</v>
      </c>
      <c r="G20" s="19">
        <v>50</v>
      </c>
      <c r="I20" s="20">
        <f t="shared" si="0"/>
        <v>1.9836125</v>
      </c>
      <c r="J20" s="21">
        <f t="shared" si="1"/>
        <v>5.0658314233094784E-3</v>
      </c>
      <c r="K20" s="21">
        <f t="shared" si="2"/>
        <v>3.9497708747502037E-3</v>
      </c>
      <c r="L20" s="21">
        <f t="shared" si="3"/>
        <v>2.2980102013268476E-3</v>
      </c>
      <c r="M20" s="21">
        <f t="shared" si="4"/>
        <v>1.1160605485592743E-3</v>
      </c>
      <c r="N20" s="18">
        <f t="shared" si="5"/>
        <v>989824</v>
      </c>
      <c r="O20" s="21">
        <v>16</v>
      </c>
      <c r="P20" s="22">
        <v>30379563</v>
      </c>
      <c r="Q20" s="22">
        <v>949361.34375</v>
      </c>
      <c r="R20" s="22">
        <v>28806.71875</v>
      </c>
      <c r="S20" s="23">
        <v>1269512</v>
      </c>
      <c r="T20" s="23">
        <v>575888</v>
      </c>
      <c r="U20" s="23">
        <v>413936</v>
      </c>
      <c r="V20" s="23">
        <v>279688</v>
      </c>
      <c r="W20" s="24">
        <v>67.248237500000002</v>
      </c>
      <c r="X20" s="24">
        <v>68.985434374999997</v>
      </c>
      <c r="Y20" s="24">
        <v>30.074031250000001</v>
      </c>
      <c r="Z20" s="24">
        <v>39.563031250000002</v>
      </c>
      <c r="AA20" s="24">
        <v>38.099803125000001</v>
      </c>
      <c r="AB20" s="25">
        <v>6330.6</v>
      </c>
      <c r="AC20" s="25">
        <v>7332.22</v>
      </c>
      <c r="AD20" s="25">
        <v>76.534999999999997</v>
      </c>
      <c r="AE20" s="25">
        <v>24.373999999999999</v>
      </c>
      <c r="AG20" s="20">
        <f t="shared" si="6"/>
        <v>2.0856750000000002</v>
      </c>
      <c r="AH20" s="21">
        <f t="shared" si="7"/>
        <v>5.3264828457226373E-3</v>
      </c>
      <c r="AI20" s="21">
        <f t="shared" si="8"/>
        <v>4.1086517234152735E-3</v>
      </c>
      <c r="AJ20" s="21">
        <f t="shared" si="9"/>
        <v>2.3360943589433689E-3</v>
      </c>
      <c r="AK20" s="21">
        <f t="shared" si="10"/>
        <v>1.2178311223073641E-3</v>
      </c>
      <c r="AL20" s="18">
        <f t="shared" si="11"/>
        <v>1029640</v>
      </c>
      <c r="AM20" s="21">
        <v>16</v>
      </c>
      <c r="AN20" s="22">
        <v>30724153</v>
      </c>
      <c r="AO20" s="22">
        <v>960129.78125</v>
      </c>
      <c r="AP20" s="22">
        <v>30720.53125</v>
      </c>
      <c r="AQ20" s="23">
        <v>1334832</v>
      </c>
      <c r="AR20" s="23">
        <v>585432</v>
      </c>
      <c r="AS20" s="23">
        <v>444208</v>
      </c>
      <c r="AT20" s="23">
        <v>305192</v>
      </c>
      <c r="AU20" s="24">
        <v>67.263199999999998</v>
      </c>
      <c r="AV20" s="24">
        <v>68.971015625000007</v>
      </c>
      <c r="AW20" s="24">
        <v>30.0510625</v>
      </c>
      <c r="AX20" s="24">
        <v>39.458762499999999</v>
      </c>
      <c r="AY20" s="24">
        <v>38.080818749999999</v>
      </c>
      <c r="AZ20" s="25">
        <v>6308.82</v>
      </c>
      <c r="BA20" s="25">
        <v>8169.3</v>
      </c>
      <c r="BB20" s="25">
        <v>94.712000000000003</v>
      </c>
      <c r="BC20" s="25">
        <v>33.970999999999997</v>
      </c>
      <c r="BE20" s="50">
        <f t="shared" si="12"/>
        <v>1.040225332988491</v>
      </c>
      <c r="BF20" s="26">
        <f t="shared" si="13"/>
        <v>1.6529671557123059E-3</v>
      </c>
      <c r="BG20" s="26">
        <f t="shared" si="14"/>
        <v>-8.3255852455567103E-3</v>
      </c>
      <c r="BH20" s="26">
        <f t="array" ref="BH20">AVERAGE(AL20:AL24/AQ20:AQ24) - AVERAGE(N20:N24/S20:S24)</f>
        <v>-3.9097379062275062E-3</v>
      </c>
      <c r="BJ20" s="50">
        <f>IF( OR(ISBLANK(N20:N24),ISBLANK(AL20:AL24), ISBLANK(W20:W24),ISBLANK(AU20:AU24)), "·", bdRateExtend( N20:N24,W20:W24, AL20:AL24,AU20:AU24))</f>
        <v>4.1734468965553662E-2</v>
      </c>
      <c r="BK20" s="50">
        <f>IF( OR(ISBLANK(N20:N24),ISBLANK(AL20:AL24), ISBLANK(X20:X24),ISBLANK(AV20:AV24)), "·", bdRateExtend( N20:N24,X20:X24, AL20:AL24,AV20:AV24))</f>
        <v>4.3765910375782813E-2</v>
      </c>
      <c r="BL20" s="50">
        <f>IF( OR(ISBLANK(V20:V24),ISBLANK(AT20:AT24), ISBLANK(Y20:Y24),ISBLANK(AW20:AW24)), "·", bdRateExtend( V20:V24,Y20:Y24, AT20:AT24,AW20:AW24))</f>
        <v>5.3052730614861598E-2</v>
      </c>
      <c r="BM20" s="50">
        <f>IF( OR(ISBLANK(V20:V24),ISBLANK(AT20:AT24), ISBLANK(Z20:Z24),ISBLANK(AX20:AX24)), "·", bdRateExtend( V20:V24,Z20:Z24, AT20:AT24,AX20:AX24))</f>
        <v>6.8942133853808096E-2</v>
      </c>
      <c r="BN20" s="50">
        <f>IF( OR(ISBLANK(V20:V24),ISBLANK(AT20:AT24), ISBLANK(AA20:AA24),ISBLANK(AY20:AY24)), "·", bdRateExtend( V20:V24,AA20:AA24, AT20:AT24,AY20:AY24))</f>
        <v>6.0489085606616699E-2</v>
      </c>
      <c r="BP20" s="50">
        <f>IF( OR(ISBLANK(S20:S24),ISBLANK(AQ20:AQ24), ISBLANK(W20:W24),ISBLANK(AU20:AU24)), "·", bdRateExtend( S20:S24,W20:W24, AQ20:AQ24,AU20:AU24))</f>
        <v>5.4518784021964528E-2</v>
      </c>
      <c r="BQ20" s="50">
        <f>IF( OR(ISBLANK(S20:S24),ISBLANK(AQ20:AQ24), ISBLANK(X20:X24),ISBLANK(AV20:AV24)), "·", bdRateExtend( S20:S24,X20:X24, AQ20:AQ24,AV20:AV24))</f>
        <v>5.4774710022661433E-2</v>
      </c>
      <c r="BR20" s="50">
        <f>IF( OR(ISBLANK(S20:S24),ISBLANK(AQ20:AQ24), ISBLANK(Y20:Y24),ISBLANK(AW20:AW24)), "·", bdRateExtend( S20:S24,Y20:Y24, AQ20:AQ24,AW20:AW24))</f>
        <v>3.9925943195352032E-2</v>
      </c>
      <c r="BS20" s="50">
        <f>IF( OR(ISBLANK(S20:S24),ISBLANK(AQ20:AQ24), ISBLANK(Z20:Z24),ISBLANK(AX20:AX24)), "·", bdRateExtend( S20:S24,Z20:Z24, AQ20:AQ24,AX20:AX24))</f>
        <v>4.6974087546745258E-2</v>
      </c>
      <c r="BT20" s="50">
        <f>IF( OR(ISBLANK(S20:S24),ISBLANK(AQ20:AQ24), ISBLANK(AA20:AA24),ISBLANK(AY20:AY24)), "·", bdRateExtend( S20:S24,AA20:AA24, AQ20:AQ24,AY20:AY24))</f>
        <v>4.5868671153749263E-2</v>
      </c>
    </row>
    <row r="21" spans="1:72" outlineLevel="1" x14ac:dyDescent="0.45">
      <c r="A21" s="54"/>
      <c r="B21" s="54" t="s">
        <v>68</v>
      </c>
      <c r="C21" s="10" t="s">
        <v>231</v>
      </c>
      <c r="D21" s="54">
        <v>250602891</v>
      </c>
      <c r="E21" s="10">
        <v>10</v>
      </c>
      <c r="F21" s="10">
        <v>32</v>
      </c>
      <c r="G21" s="10">
        <v>50</v>
      </c>
      <c r="I21" s="11">
        <f t="shared" si="0"/>
        <v>2.6581250000000001</v>
      </c>
      <c r="J21" s="12">
        <f t="shared" si="1"/>
        <v>6.7884292683598772E-3</v>
      </c>
      <c r="K21" s="12">
        <f t="shared" si="2"/>
        <v>4.6939921375448142E-3</v>
      </c>
      <c r="L21" s="12">
        <f t="shared" si="3"/>
        <v>3.0422314641214573E-3</v>
      </c>
      <c r="M21" s="12">
        <f t="shared" si="4"/>
        <v>2.094437130815063E-3</v>
      </c>
      <c r="N21" s="54">
        <f t="shared" si="5"/>
        <v>1176328</v>
      </c>
      <c r="O21" s="12">
        <v>16</v>
      </c>
      <c r="P21" s="13">
        <v>31696812</v>
      </c>
      <c r="Q21" s="13">
        <v>990525.375</v>
      </c>
      <c r="R21" s="13">
        <v>33593.15625</v>
      </c>
      <c r="S21" s="14">
        <v>1701200</v>
      </c>
      <c r="T21" s="14">
        <v>762392</v>
      </c>
      <c r="U21" s="14">
        <v>413936</v>
      </c>
      <c r="V21" s="14">
        <v>524872</v>
      </c>
      <c r="W21" s="15">
        <v>68.873231250000003</v>
      </c>
      <c r="X21" s="15">
        <v>70.998265625000002</v>
      </c>
      <c r="Y21" s="15">
        <v>31.559334374999999</v>
      </c>
      <c r="Z21" s="15">
        <v>40.555562500000001</v>
      </c>
      <c r="AA21" s="15">
        <v>39.276837499999999</v>
      </c>
      <c r="AB21" s="16">
        <v>5110.1400000000003</v>
      </c>
      <c r="AC21" s="16">
        <v>6971.94</v>
      </c>
      <c r="AD21" s="16">
        <v>105.55200000000001</v>
      </c>
      <c r="AE21" s="16">
        <v>40.283999999999999</v>
      </c>
      <c r="AG21" s="11">
        <f t="shared" si="6"/>
        <v>2.78755</v>
      </c>
      <c r="AH21" s="12">
        <f t="shared" si="7"/>
        <v>7.1189601719319354E-3</v>
      </c>
      <c r="AI21" s="12">
        <f t="shared" si="8"/>
        <v>4.860917586142292E-3</v>
      </c>
      <c r="AJ21" s="12">
        <f t="shared" si="9"/>
        <v>3.0883602216703878E-3</v>
      </c>
      <c r="AK21" s="12">
        <f t="shared" si="10"/>
        <v>2.258042585789643E-3</v>
      </c>
      <c r="AL21" s="54">
        <f t="shared" si="11"/>
        <v>1218160</v>
      </c>
      <c r="AM21" s="12">
        <v>16</v>
      </c>
      <c r="AN21" s="13">
        <v>31631545</v>
      </c>
      <c r="AO21" s="13">
        <v>988485.78125</v>
      </c>
      <c r="AP21" s="13">
        <v>35320.84375</v>
      </c>
      <c r="AQ21" s="14">
        <v>1784032</v>
      </c>
      <c r="AR21" s="14">
        <v>773952</v>
      </c>
      <c r="AS21" s="14">
        <v>444208</v>
      </c>
      <c r="AT21" s="14">
        <v>565872</v>
      </c>
      <c r="AU21" s="15">
        <v>68.831043750000006</v>
      </c>
      <c r="AV21" s="15">
        <v>70.952253124999999</v>
      </c>
      <c r="AW21" s="15">
        <v>31.551403125</v>
      </c>
      <c r="AX21" s="15">
        <v>40.48678125</v>
      </c>
      <c r="AY21" s="15">
        <v>39.308540624999999</v>
      </c>
      <c r="AZ21" s="16">
        <v>4372.84</v>
      </c>
      <c r="BA21" s="16">
        <v>5385.63</v>
      </c>
      <c r="BB21" s="16">
        <v>90.852000000000004</v>
      </c>
      <c r="BC21" s="16">
        <v>32.368000000000002</v>
      </c>
      <c r="BE21" s="51">
        <f t="shared" si="12"/>
        <v>1.0355615100550186</v>
      </c>
      <c r="BF21" s="17">
        <f t="shared" si="13"/>
        <v>1.8177896962982207E-3</v>
      </c>
      <c r="BG21" s="17">
        <f t="shared" si="14"/>
        <v>-8.6566865620028022E-3</v>
      </c>
      <c r="BH21" s="17"/>
      <c r="BJ21" s="51"/>
      <c r="BK21" s="51"/>
      <c r="BL21" s="51"/>
      <c r="BM21" s="51"/>
      <c r="BN21" s="51"/>
      <c r="BP21" s="51"/>
      <c r="BQ21" s="51"/>
      <c r="BR21" s="51"/>
      <c r="BS21" s="51"/>
      <c r="BT21" s="51"/>
    </row>
    <row r="22" spans="1:72" outlineLevel="1" x14ac:dyDescent="0.45">
      <c r="A22" s="18"/>
      <c r="B22" s="18" t="s">
        <v>68</v>
      </c>
      <c r="C22" s="19" t="s">
        <v>232</v>
      </c>
      <c r="D22" s="18">
        <v>250602891</v>
      </c>
      <c r="E22" s="19">
        <v>10</v>
      </c>
      <c r="F22" s="19">
        <v>32</v>
      </c>
      <c r="G22" s="19">
        <v>50</v>
      </c>
      <c r="I22" s="20">
        <f t="shared" si="0"/>
        <v>4.0633625000000002</v>
      </c>
      <c r="J22" s="21">
        <f t="shared" si="1"/>
        <v>1.0377182759635442E-2</v>
      </c>
      <c r="K22" s="21">
        <f t="shared" si="2"/>
        <v>5.5723219888951722E-3</v>
      </c>
      <c r="L22" s="21">
        <f t="shared" si="3"/>
        <v>3.9205613154718157E-3</v>
      </c>
      <c r="M22" s="21">
        <f t="shared" si="4"/>
        <v>4.8048607707402704E-3</v>
      </c>
      <c r="N22" s="18">
        <f t="shared" si="5"/>
        <v>1396440</v>
      </c>
      <c r="O22" s="21">
        <v>16</v>
      </c>
      <c r="P22" s="22">
        <v>32604849</v>
      </c>
      <c r="Q22" s="22">
        <v>1018901.53125</v>
      </c>
      <c r="R22" s="22">
        <v>35090.5625</v>
      </c>
      <c r="S22" s="23">
        <v>2600552</v>
      </c>
      <c r="T22" s="23">
        <v>982504</v>
      </c>
      <c r="U22" s="23">
        <v>413936</v>
      </c>
      <c r="V22" s="23">
        <v>1204112</v>
      </c>
      <c r="W22" s="24">
        <v>70.092034374999997</v>
      </c>
      <c r="X22" s="24">
        <v>72.552462500000004</v>
      </c>
      <c r="Y22" s="24">
        <v>33.366718749999997</v>
      </c>
      <c r="Z22" s="24">
        <v>41.756606249999997</v>
      </c>
      <c r="AA22" s="24">
        <v>40.520646874999997</v>
      </c>
      <c r="AB22" s="25">
        <v>3580.93</v>
      </c>
      <c r="AC22" s="25">
        <v>4341.55</v>
      </c>
      <c r="AD22" s="25">
        <v>106.185</v>
      </c>
      <c r="AE22" s="25">
        <v>39.21</v>
      </c>
      <c r="AG22" s="20">
        <f t="shared" si="6"/>
        <v>4.2632000000000003</v>
      </c>
      <c r="AH22" s="21">
        <f t="shared" si="7"/>
        <v>1.0887536010109316E-2</v>
      </c>
      <c r="AI22" s="21">
        <f t="shared" si="8"/>
        <v>5.8187038233329874E-3</v>
      </c>
      <c r="AJ22" s="21">
        <f t="shared" si="9"/>
        <v>4.0461464588610833E-3</v>
      </c>
      <c r="AK22" s="21">
        <f t="shared" si="10"/>
        <v>5.0688321867763293E-3</v>
      </c>
      <c r="AL22" s="18">
        <f t="shared" si="11"/>
        <v>1458184</v>
      </c>
      <c r="AM22" s="21">
        <v>16</v>
      </c>
      <c r="AN22" s="22">
        <v>32769756</v>
      </c>
      <c r="AO22" s="22">
        <v>1024054.875</v>
      </c>
      <c r="AP22" s="22">
        <v>37487.53125</v>
      </c>
      <c r="AQ22" s="23">
        <v>2728448</v>
      </c>
      <c r="AR22" s="23">
        <v>1013976</v>
      </c>
      <c r="AS22" s="23">
        <v>444208</v>
      </c>
      <c r="AT22" s="23">
        <v>1270264</v>
      </c>
      <c r="AU22" s="24">
        <v>70.063781250000005</v>
      </c>
      <c r="AV22" s="24">
        <v>72.516499999999994</v>
      </c>
      <c r="AW22" s="24">
        <v>33.375525000000003</v>
      </c>
      <c r="AX22" s="24">
        <v>41.783290624999999</v>
      </c>
      <c r="AY22" s="24">
        <v>40.512871875000002</v>
      </c>
      <c r="AZ22" s="25">
        <v>5282.67</v>
      </c>
      <c r="BA22" s="25">
        <v>6553.75</v>
      </c>
      <c r="BB22" s="25">
        <v>96.545000000000002</v>
      </c>
      <c r="BC22" s="25">
        <v>32.765000000000001</v>
      </c>
      <c r="BE22" s="50">
        <f t="shared" si="12"/>
        <v>1.0442152903096444</v>
      </c>
      <c r="BF22" s="26">
        <f t="shared" si="13"/>
        <v>2.1673542112567099E-3</v>
      </c>
      <c r="BG22" s="26">
        <f t="shared" si="14"/>
        <v>-2.5411431880616453E-3</v>
      </c>
      <c r="BH22" s="26"/>
      <c r="BJ22" s="50"/>
      <c r="BK22" s="50"/>
      <c r="BL22" s="50"/>
      <c r="BM22" s="50"/>
      <c r="BN22" s="50"/>
      <c r="BP22" s="50"/>
      <c r="BQ22" s="50"/>
      <c r="BR22" s="50"/>
      <c r="BS22" s="50"/>
      <c r="BT22" s="50"/>
    </row>
    <row r="23" spans="1:72" outlineLevel="1" x14ac:dyDescent="0.45">
      <c r="A23" s="54"/>
      <c r="B23" s="54" t="s">
        <v>68</v>
      </c>
      <c r="C23" s="10" t="s">
        <v>233</v>
      </c>
      <c r="D23" s="54">
        <v>250602891</v>
      </c>
      <c r="E23" s="10">
        <v>10</v>
      </c>
      <c r="F23" s="10">
        <v>32</v>
      </c>
      <c r="G23" s="10">
        <v>50</v>
      </c>
      <c r="I23" s="11">
        <f t="shared" si="0"/>
        <v>7.6368124999999996</v>
      </c>
      <c r="J23" s="12">
        <f t="shared" si="1"/>
        <v>1.9503206768672114E-2</v>
      </c>
      <c r="K23" s="12">
        <f t="shared" si="2"/>
        <v>8.2705829598749524E-3</v>
      </c>
      <c r="L23" s="12">
        <f t="shared" si="3"/>
        <v>6.6188222864515959E-3</v>
      </c>
      <c r="M23" s="12">
        <f t="shared" si="4"/>
        <v>1.1232623808797162E-2</v>
      </c>
      <c r="N23" s="54">
        <f t="shared" si="5"/>
        <v>2072632</v>
      </c>
      <c r="O23" s="12">
        <v>16</v>
      </c>
      <c r="P23" s="13">
        <v>32813316</v>
      </c>
      <c r="Q23" s="13">
        <v>1025416.125</v>
      </c>
      <c r="R23" s="13">
        <v>37028.40625</v>
      </c>
      <c r="S23" s="14">
        <v>4887560</v>
      </c>
      <c r="T23" s="14">
        <v>1658696</v>
      </c>
      <c r="U23" s="14">
        <v>413936</v>
      </c>
      <c r="V23" s="14">
        <v>2814928</v>
      </c>
      <c r="W23" s="15">
        <v>71.045559374999996</v>
      </c>
      <c r="X23" s="15">
        <v>73.797390625000006</v>
      </c>
      <c r="Y23" s="15">
        <v>35.144278125</v>
      </c>
      <c r="Z23" s="15">
        <v>42.778806250000002</v>
      </c>
      <c r="AA23" s="15">
        <v>41.512503125000002</v>
      </c>
      <c r="AB23" s="16">
        <v>5799.87</v>
      </c>
      <c r="AC23" s="16">
        <v>9059.81</v>
      </c>
      <c r="AD23" s="16">
        <v>93.352000000000004</v>
      </c>
      <c r="AE23" s="16">
        <v>32.347999999999999</v>
      </c>
      <c r="AG23" s="11">
        <f t="shared" si="6"/>
        <v>7.9321999999999999</v>
      </c>
      <c r="AH23" s="12">
        <f t="shared" si="7"/>
        <v>2.0257579550429051E-2</v>
      </c>
      <c r="AI23" s="12">
        <f t="shared" si="8"/>
        <v>8.567722389124394E-3</v>
      </c>
      <c r="AJ23" s="12">
        <f t="shared" si="9"/>
        <v>6.795165024652489E-3</v>
      </c>
      <c r="AK23" s="12">
        <f t="shared" si="10"/>
        <v>1.1689857161304655E-2</v>
      </c>
      <c r="AL23" s="54">
        <f t="shared" si="11"/>
        <v>2147096</v>
      </c>
      <c r="AM23" s="12">
        <v>16</v>
      </c>
      <c r="AN23" s="13">
        <v>33004483</v>
      </c>
      <c r="AO23" s="13">
        <v>1031390.09375</v>
      </c>
      <c r="AP23" s="13">
        <v>39254.78125</v>
      </c>
      <c r="AQ23" s="14">
        <v>5076608</v>
      </c>
      <c r="AR23" s="14">
        <v>1702888</v>
      </c>
      <c r="AS23" s="14">
        <v>444208</v>
      </c>
      <c r="AT23" s="14">
        <v>2929512</v>
      </c>
      <c r="AU23" s="15">
        <v>71.017825000000002</v>
      </c>
      <c r="AV23" s="15">
        <v>73.768871875000002</v>
      </c>
      <c r="AW23" s="15">
        <v>35.169793749999997</v>
      </c>
      <c r="AX23" s="15">
        <v>42.781681249999998</v>
      </c>
      <c r="AY23" s="15">
        <v>41.487368750000002</v>
      </c>
      <c r="AZ23" s="16">
        <v>3877.33</v>
      </c>
      <c r="BA23" s="16">
        <v>4751.17</v>
      </c>
      <c r="BB23" s="16">
        <v>63.737000000000002</v>
      </c>
      <c r="BC23" s="16">
        <v>22.437000000000001</v>
      </c>
      <c r="BE23" s="51">
        <f t="shared" si="12"/>
        <v>1.0359272654286917</v>
      </c>
      <c r="BF23" s="17">
        <f t="shared" si="13"/>
        <v>1.9494576595653276E-3</v>
      </c>
      <c r="BG23" s="17">
        <f t="shared" si="14"/>
        <v>-1.1236261621681565E-3</v>
      </c>
      <c r="BH23" s="17"/>
      <c r="BJ23" s="51"/>
      <c r="BK23" s="51"/>
      <c r="BL23" s="51"/>
      <c r="BM23" s="51"/>
      <c r="BN23" s="51"/>
      <c r="BP23" s="51"/>
      <c r="BQ23" s="51"/>
      <c r="BR23" s="51"/>
      <c r="BS23" s="51"/>
      <c r="BT23" s="51"/>
    </row>
    <row r="24" spans="1:72" outlineLevel="1" x14ac:dyDescent="0.45">
      <c r="A24" s="37"/>
      <c r="B24" s="37" t="s">
        <v>68</v>
      </c>
      <c r="C24" s="38" t="s">
        <v>234</v>
      </c>
      <c r="D24" s="37">
        <v>250602891</v>
      </c>
      <c r="E24" s="38">
        <v>10</v>
      </c>
      <c r="F24" s="38">
        <v>32</v>
      </c>
      <c r="G24" s="38">
        <v>50</v>
      </c>
      <c r="I24" s="39">
        <f t="shared" si="0"/>
        <v>15.560762499999999</v>
      </c>
      <c r="J24" s="40">
        <f t="shared" si="1"/>
        <v>3.9739717128801998E-2</v>
      </c>
      <c r="K24" s="40">
        <f t="shared" si="2"/>
        <v>1.4241814951767656E-2</v>
      </c>
      <c r="L24" s="40">
        <f t="shared" si="3"/>
        <v>1.0614817687797545E-2</v>
      </c>
      <c r="M24" s="40">
        <f t="shared" si="4"/>
        <v>2.5497902177034341E-2</v>
      </c>
      <c r="N24" s="37">
        <f t="shared" si="5"/>
        <v>3569040</v>
      </c>
      <c r="O24" s="40">
        <v>16</v>
      </c>
      <c r="P24" s="41">
        <v>31274990</v>
      </c>
      <c r="Q24" s="41">
        <v>977343.4375</v>
      </c>
      <c r="R24" s="41">
        <v>17914.71875</v>
      </c>
      <c r="S24" s="42">
        <v>9958888</v>
      </c>
      <c r="T24" s="42">
        <v>2660104</v>
      </c>
      <c r="U24" s="42">
        <v>908936</v>
      </c>
      <c r="V24" s="42">
        <v>6389848</v>
      </c>
      <c r="W24" s="43">
        <v>71.767975000000007</v>
      </c>
      <c r="X24" s="43">
        <v>75.810796874999994</v>
      </c>
      <c r="Y24" s="43">
        <v>36.616746874999997</v>
      </c>
      <c r="Z24" s="43">
        <v>43.678193749999998</v>
      </c>
      <c r="AA24" s="43">
        <v>42.226712499999998</v>
      </c>
      <c r="AB24" s="44">
        <v>5032.2299999999996</v>
      </c>
      <c r="AC24" s="44">
        <v>8906.8799999999992</v>
      </c>
      <c r="AD24" s="44">
        <v>86.4</v>
      </c>
      <c r="AE24" s="44">
        <v>34.031999999999996</v>
      </c>
      <c r="AG24" s="39">
        <f t="shared" si="6"/>
        <v>16.090412499999999</v>
      </c>
      <c r="AH24" s="40">
        <f t="shared" si="7"/>
        <v>4.1092359146008416E-2</v>
      </c>
      <c r="AI24" s="40">
        <f t="shared" si="8"/>
        <v>1.4771705087791664E-2</v>
      </c>
      <c r="AJ24" s="40">
        <f t="shared" si="9"/>
        <v>1.0909147891673764E-2</v>
      </c>
      <c r="AK24" s="40">
        <f t="shared" si="10"/>
        <v>2.632065405821675E-2</v>
      </c>
      <c r="AL24" s="37">
        <f t="shared" si="11"/>
        <v>3701832</v>
      </c>
      <c r="AM24" s="40">
        <v>16</v>
      </c>
      <c r="AN24" s="41">
        <v>31443081</v>
      </c>
      <c r="AO24" s="41">
        <v>982596.28125</v>
      </c>
      <c r="AP24" s="41">
        <v>19350.03125</v>
      </c>
      <c r="AQ24" s="42">
        <v>10297864</v>
      </c>
      <c r="AR24" s="42">
        <v>2733864</v>
      </c>
      <c r="AS24" s="42">
        <v>967968</v>
      </c>
      <c r="AT24" s="42">
        <v>6596032</v>
      </c>
      <c r="AU24" s="43">
        <v>71.83191875</v>
      </c>
      <c r="AV24" s="43">
        <v>75.784378125000003</v>
      </c>
      <c r="AW24" s="43">
        <v>36.664074999999997</v>
      </c>
      <c r="AX24" s="43">
        <v>43.728053125000002</v>
      </c>
      <c r="AY24" s="43">
        <v>42.269065625000003</v>
      </c>
      <c r="AZ24" s="44">
        <v>3573.59</v>
      </c>
      <c r="BA24" s="44">
        <v>5674.08</v>
      </c>
      <c r="BB24" s="44">
        <v>72.271000000000001</v>
      </c>
      <c r="BC24" s="44">
        <v>27.669</v>
      </c>
      <c r="BE24" s="45">
        <f t="shared" si="12"/>
        <v>1.0372066438033756</v>
      </c>
      <c r="BF24" s="46">
        <f t="shared" si="13"/>
        <v>1.3627446254767354E-3</v>
      </c>
      <c r="BG24" s="46">
        <f t="shared" si="14"/>
        <v>1.0983516266516169E-3</v>
      </c>
      <c r="BH24" s="46"/>
      <c r="BJ24" s="45"/>
      <c r="BK24" s="45"/>
      <c r="BL24" s="45"/>
      <c r="BM24" s="45"/>
      <c r="BN24" s="45"/>
      <c r="BP24" s="45"/>
      <c r="BQ24" s="45"/>
      <c r="BR24" s="45"/>
      <c r="BS24" s="45"/>
      <c r="BT24" s="45"/>
    </row>
    <row r="25" spans="1:72" x14ac:dyDescent="0.45">
      <c r="A25" s="54" t="s">
        <v>235</v>
      </c>
      <c r="B25" s="54" t="s">
        <v>71</v>
      </c>
      <c r="C25" s="10" t="s">
        <v>230</v>
      </c>
      <c r="D25" s="54">
        <v>250294582</v>
      </c>
      <c r="E25" s="10">
        <v>10</v>
      </c>
      <c r="F25" s="10">
        <v>32</v>
      </c>
      <c r="G25" s="10">
        <v>30</v>
      </c>
      <c r="I25" s="11">
        <f t="shared" si="0"/>
        <v>2.0607825000000002</v>
      </c>
      <c r="J25" s="12">
        <f t="shared" si="1"/>
        <v>8.7823235422650903E-3</v>
      </c>
      <c r="K25" s="12">
        <f t="shared" si="2"/>
        <v>5.7151217120632678E-3</v>
      </c>
      <c r="L25" s="12">
        <f t="shared" si="3"/>
        <v>3.5055013695821828E-3</v>
      </c>
      <c r="M25" s="12">
        <f t="shared" si="4"/>
        <v>3.0672018302018221E-3</v>
      </c>
      <c r="N25" s="54">
        <f t="shared" si="5"/>
        <v>1430464</v>
      </c>
      <c r="O25" s="12">
        <v>16</v>
      </c>
      <c r="P25" s="13">
        <v>23423729</v>
      </c>
      <c r="Q25" s="13">
        <v>731991.53125</v>
      </c>
      <c r="R25" s="13">
        <v>14601.28125</v>
      </c>
      <c r="S25" s="14">
        <v>2198168</v>
      </c>
      <c r="T25" s="14">
        <v>877408</v>
      </c>
      <c r="U25" s="14">
        <v>553056</v>
      </c>
      <c r="V25" s="14">
        <v>767704</v>
      </c>
      <c r="W25" s="15">
        <v>66.249556249999998</v>
      </c>
      <c r="X25" s="15">
        <v>68.002121875</v>
      </c>
      <c r="Y25" s="15">
        <v>25.914253124999998</v>
      </c>
      <c r="Z25" s="15">
        <v>32.457703125000002</v>
      </c>
      <c r="AA25" s="15">
        <v>31.662740625000001</v>
      </c>
      <c r="AB25" s="16">
        <v>1966.63</v>
      </c>
      <c r="AC25" s="16">
        <v>8754.6200000000008</v>
      </c>
      <c r="AD25" s="16">
        <v>80.575999999999993</v>
      </c>
      <c r="AE25" s="16">
        <v>42.374000000000002</v>
      </c>
      <c r="AG25" s="11">
        <f t="shared" si="6"/>
        <v>2.5211700000000001</v>
      </c>
      <c r="AH25" s="12">
        <f t="shared" si="7"/>
        <v>1.0744331653171782E-2</v>
      </c>
      <c r="AI25" s="12">
        <f t="shared" si="8"/>
        <v>7.1731157169035321E-3</v>
      </c>
      <c r="AJ25" s="12">
        <f t="shared" si="9"/>
        <v>4.0264235523883611E-3</v>
      </c>
      <c r="AK25" s="12">
        <f t="shared" si="10"/>
        <v>3.5712159362682491E-3</v>
      </c>
      <c r="AL25" s="54">
        <f t="shared" si="11"/>
        <v>1795392</v>
      </c>
      <c r="AM25" s="12">
        <v>16</v>
      </c>
      <c r="AN25" s="13">
        <v>23942661</v>
      </c>
      <c r="AO25" s="13">
        <v>748208.15625</v>
      </c>
      <c r="AP25" s="13">
        <v>24921.15625</v>
      </c>
      <c r="AQ25" s="14">
        <v>2689248</v>
      </c>
      <c r="AR25" s="14">
        <v>1007792</v>
      </c>
      <c r="AS25" s="14">
        <v>787600</v>
      </c>
      <c r="AT25" s="14">
        <v>893856</v>
      </c>
      <c r="AU25" s="15">
        <v>66.380031250000002</v>
      </c>
      <c r="AV25" s="15">
        <v>67.977021875000005</v>
      </c>
      <c r="AW25" s="15">
        <v>25.988596874999999</v>
      </c>
      <c r="AX25" s="15">
        <v>32.514628125000002</v>
      </c>
      <c r="AY25" s="15">
        <v>31.707125000000001</v>
      </c>
      <c r="AZ25" s="16">
        <v>1339.27</v>
      </c>
      <c r="BA25" s="16">
        <v>4795.32</v>
      </c>
      <c r="BB25" s="16">
        <v>83.358999999999995</v>
      </c>
      <c r="BC25" s="16">
        <v>40.619999999999997</v>
      </c>
      <c r="BE25" s="51">
        <f t="shared" si="12"/>
        <v>1.2551116281150732</v>
      </c>
      <c r="BF25" s="17">
        <f t="shared" si="13"/>
        <v>1.3360448484565655E-2</v>
      </c>
      <c r="BG25" s="17">
        <f t="shared" si="14"/>
        <v>1.6865796944858458E-2</v>
      </c>
      <c r="BH25" s="17">
        <f t="array" ref="BH25">AVERAGE(AL25:AL29/AQ25:AQ29) - AVERAGE(N25:N29/S25:S29)</f>
        <v>1.7349552512592514E-2</v>
      </c>
      <c r="BJ25" s="51">
        <f>IF( OR(ISBLANK(N25:N29),ISBLANK(AL25:AL29), ISBLANK(W25:W29),ISBLANK(AU25:AU29)), "·", bdRateExtend( N25:N29,W25:W29, AL25:AL29,AU25:AU29))</f>
        <v>0.21831341381871949</v>
      </c>
      <c r="BK25" s="51">
        <f>IF( OR(ISBLANK(N25:N29),ISBLANK(AL25:AL29), ISBLANK(X25:X29),ISBLANK(AV25:AV29)), "·", bdRateExtend( N25:N29,X25:X29, AL25:AL29,AV25:AV29))</f>
        <v>0.2509071566239236</v>
      </c>
      <c r="BL25" s="51">
        <f>IF( OR(ISBLANK(V25:V29),ISBLANK(AT25:AT29), ISBLANK(Y25:Y29),ISBLANK(AW25:AW29)), "·", bdRateExtend( V25:V29,Y25:Y29, AT25:AT29,AW25:AW29))</f>
        <v>6.3434046278775913E-2</v>
      </c>
      <c r="BM25" s="51">
        <f>IF( OR(ISBLANK(V25:V29),ISBLANK(AT25:AT29), ISBLANK(Z25:Z29),ISBLANK(AX25:AX29)), "·", bdRateExtend( V25:V29,Z25:Z29, AT25:AT29,AX25:AX29))</f>
        <v>4.7728125824909595E-2</v>
      </c>
      <c r="BN25" s="51">
        <f>IF( OR(ISBLANK(V25:V29),ISBLANK(AT25:AT29), ISBLANK(AA25:AA29),ISBLANK(AY25:AY29)), "·", bdRateExtend( V25:V29,AA25:AA29, AT25:AT29,AY25:AY29))</f>
        <v>4.0137369693296066E-2</v>
      </c>
      <c r="BP25" s="51">
        <f>IF( OR(ISBLANK(S25:S29),ISBLANK(AQ25:AQ29), ISBLANK(W25:W29),ISBLANK(AU25:AU29)), "·", bdRateExtend( S25:S29,W25:W29, AQ25:AQ29,AU25:AU29))</f>
        <v>0.17392831556147303</v>
      </c>
      <c r="BQ25" s="51">
        <f>IF( OR(ISBLANK(S25:S29),ISBLANK(AQ25:AQ29), ISBLANK(X25:X29),ISBLANK(AV25:AV29)), "·", bdRateExtend( S25:S29,X25:X29, AQ25:AQ29,AV25:AV29))</f>
        <v>0.22122888177735356</v>
      </c>
      <c r="BR25" s="51">
        <f>IF( OR(ISBLANK(S25:S29),ISBLANK(AQ25:AQ29), ISBLANK(Y25:Y29),ISBLANK(AW25:AW29)), "·", bdRateExtend( S25:S29,Y25:Y29, AQ25:AQ29,AW25:AW29))</f>
        <v>0.10886694701273414</v>
      </c>
      <c r="BS25" s="51">
        <f>IF( OR(ISBLANK(S25:S29),ISBLANK(AQ25:AQ29), ISBLANK(Z25:Z29),ISBLANK(AX25:AX29)), "·", bdRateExtend( S25:S29,Z25:Z29, AQ25:AQ29,AX25:AX29))</f>
        <v>9.5018616429985103E-2</v>
      </c>
      <c r="BT25" s="51">
        <f>IF( OR(ISBLANK(S25:S29),ISBLANK(AQ25:AQ29), ISBLANK(AA25:AA29),ISBLANK(AY25:AY29)), "·", bdRateExtend( S25:S29,AA25:AA29, AQ25:AQ29,AY25:AY29))</f>
        <v>8.9043048285748494E-2</v>
      </c>
    </row>
    <row r="26" spans="1:72" outlineLevel="1" x14ac:dyDescent="0.45">
      <c r="A26" s="18"/>
      <c r="B26" s="18" t="s">
        <v>71</v>
      </c>
      <c r="C26" s="19" t="s">
        <v>231</v>
      </c>
      <c r="D26" s="18">
        <v>250294582</v>
      </c>
      <c r="E26" s="19">
        <v>10</v>
      </c>
      <c r="F26" s="19">
        <v>32</v>
      </c>
      <c r="G26" s="19">
        <v>30</v>
      </c>
      <c r="I26" s="20">
        <f t="shared" si="0"/>
        <v>3.1715550000000001</v>
      </c>
      <c r="J26" s="21">
        <f t="shared" si="1"/>
        <v>1.3516041669651483E-2</v>
      </c>
      <c r="K26" s="21">
        <f t="shared" si="2"/>
        <v>7.1894484715614021E-3</v>
      </c>
      <c r="L26" s="21">
        <f t="shared" si="3"/>
        <v>4.9798281290803171E-3</v>
      </c>
      <c r="M26" s="21">
        <f t="shared" si="4"/>
        <v>6.3265931980900809E-3</v>
      </c>
      <c r="N26" s="18">
        <f t="shared" si="5"/>
        <v>1799480</v>
      </c>
      <c r="O26" s="21">
        <v>16</v>
      </c>
      <c r="P26" s="22">
        <v>24642332</v>
      </c>
      <c r="Q26" s="22">
        <v>770072.875</v>
      </c>
      <c r="R26" s="22">
        <v>17838.375</v>
      </c>
      <c r="S26" s="23">
        <v>3382992</v>
      </c>
      <c r="T26" s="23">
        <v>1246424</v>
      </c>
      <c r="U26" s="23">
        <v>553056</v>
      </c>
      <c r="V26" s="23">
        <v>1583512</v>
      </c>
      <c r="W26" s="24">
        <v>68.005359374999998</v>
      </c>
      <c r="X26" s="24">
        <v>70.016609375000002</v>
      </c>
      <c r="Y26" s="24">
        <v>27.918290625000001</v>
      </c>
      <c r="Z26" s="24">
        <v>33.668056249999999</v>
      </c>
      <c r="AA26" s="24">
        <v>33.040231249999998</v>
      </c>
      <c r="AB26" s="25">
        <v>1847.89</v>
      </c>
      <c r="AC26" s="25">
        <v>9140.4699999999993</v>
      </c>
      <c r="AD26" s="25">
        <v>54.511000000000003</v>
      </c>
      <c r="AE26" s="25">
        <v>27.238</v>
      </c>
      <c r="AG26" s="20">
        <f t="shared" si="6"/>
        <v>3.7865175</v>
      </c>
      <c r="AH26" s="21">
        <f t="shared" si="7"/>
        <v>1.6136793564312951E-2</v>
      </c>
      <c r="AI26" s="21">
        <f t="shared" si="8"/>
        <v>8.8036743839704848E-3</v>
      </c>
      <c r="AJ26" s="21">
        <f t="shared" si="9"/>
        <v>5.6569822194553138E-3</v>
      </c>
      <c r="AK26" s="21">
        <f t="shared" si="10"/>
        <v>7.3331191803424657E-3</v>
      </c>
      <c r="AL26" s="18">
        <f t="shared" si="11"/>
        <v>2203512</v>
      </c>
      <c r="AM26" s="21">
        <v>16</v>
      </c>
      <c r="AN26" s="22">
        <v>25636573</v>
      </c>
      <c r="AO26" s="22">
        <v>801142.90625</v>
      </c>
      <c r="AP26" s="22">
        <v>31104.59375</v>
      </c>
      <c r="AQ26" s="23">
        <v>4038952</v>
      </c>
      <c r="AR26" s="23">
        <v>1415912</v>
      </c>
      <c r="AS26" s="23">
        <v>787600</v>
      </c>
      <c r="AT26" s="23">
        <v>1835440</v>
      </c>
      <c r="AU26" s="24">
        <v>68.042793750000001</v>
      </c>
      <c r="AV26" s="24">
        <v>69.952231249999997</v>
      </c>
      <c r="AW26" s="24">
        <v>28.057096874999999</v>
      </c>
      <c r="AX26" s="24">
        <v>33.759890624999997</v>
      </c>
      <c r="AY26" s="24">
        <v>33.136109374999997</v>
      </c>
      <c r="AZ26" s="25">
        <v>1335.72</v>
      </c>
      <c r="BA26" s="25">
        <v>5029.6899999999996</v>
      </c>
      <c r="BB26" s="25">
        <v>74.42</v>
      </c>
      <c r="BC26" s="25">
        <v>33.594000000000001</v>
      </c>
      <c r="BE26" s="50">
        <f t="shared" si="12"/>
        <v>1.2245270856025074</v>
      </c>
      <c r="BF26" s="26">
        <f t="shared" si="13"/>
        <v>1.5660746703434817E-2</v>
      </c>
      <c r="BG26" s="26">
        <f t="shared" si="14"/>
        <v>1.3645611779737443E-2</v>
      </c>
      <c r="BH26" s="26"/>
      <c r="BJ26" s="50"/>
      <c r="BK26" s="50"/>
      <c r="BL26" s="50"/>
      <c r="BM26" s="50"/>
      <c r="BN26" s="50"/>
      <c r="BP26" s="50"/>
      <c r="BQ26" s="50"/>
      <c r="BR26" s="50"/>
      <c r="BS26" s="50"/>
      <c r="BT26" s="50"/>
    </row>
    <row r="27" spans="1:72" outlineLevel="1" x14ac:dyDescent="0.45">
      <c r="A27" s="54"/>
      <c r="B27" s="54" t="s">
        <v>71</v>
      </c>
      <c r="C27" s="10" t="s">
        <v>232</v>
      </c>
      <c r="D27" s="54">
        <v>250294582</v>
      </c>
      <c r="E27" s="10">
        <v>10</v>
      </c>
      <c r="F27" s="10">
        <v>32</v>
      </c>
      <c r="G27" s="10">
        <v>30</v>
      </c>
      <c r="I27" s="11">
        <f t="shared" si="0"/>
        <v>5.3551425000000004</v>
      </c>
      <c r="J27" s="12">
        <f t="shared" si="1"/>
        <v>2.2821716532401809E-2</v>
      </c>
      <c r="K27" s="12">
        <f t="shared" si="2"/>
        <v>9.3524357630721706E-3</v>
      </c>
      <c r="L27" s="12">
        <f t="shared" si="3"/>
        <v>7.1428154205910857E-3</v>
      </c>
      <c r="M27" s="12">
        <f t="shared" si="4"/>
        <v>1.3469280769329637E-2</v>
      </c>
      <c r="N27" s="54">
        <f t="shared" si="5"/>
        <v>2340864</v>
      </c>
      <c r="O27" s="12">
        <v>16</v>
      </c>
      <c r="P27" s="13">
        <v>24875407</v>
      </c>
      <c r="Q27" s="13">
        <v>777356.46875</v>
      </c>
      <c r="R27" s="13">
        <v>18687.4375</v>
      </c>
      <c r="S27" s="14">
        <v>5712152</v>
      </c>
      <c r="T27" s="14">
        <v>1787808</v>
      </c>
      <c r="U27" s="14">
        <v>553056</v>
      </c>
      <c r="V27" s="14">
        <v>3371288</v>
      </c>
      <c r="W27" s="15">
        <v>69.301756249999997</v>
      </c>
      <c r="X27" s="15">
        <v>71.690518749999995</v>
      </c>
      <c r="Y27" s="15">
        <v>30.205874999999999</v>
      </c>
      <c r="Z27" s="15">
        <v>34.909818749999999</v>
      </c>
      <c r="AA27" s="15">
        <v>34.350634374999998</v>
      </c>
      <c r="AB27" s="16">
        <v>1814.86</v>
      </c>
      <c r="AC27" s="16">
        <v>9709.11</v>
      </c>
      <c r="AD27" s="16">
        <v>82.394999999999996</v>
      </c>
      <c r="AE27" s="16">
        <v>39.804000000000002</v>
      </c>
      <c r="AG27" s="11">
        <f t="shared" si="6"/>
        <v>6.2453775</v>
      </c>
      <c r="AH27" s="12">
        <f t="shared" si="7"/>
        <v>2.6615582114358351E-2</v>
      </c>
      <c r="AI27" s="12">
        <f t="shared" si="8"/>
        <v>1.1293284806300761E-2</v>
      </c>
      <c r="AJ27" s="12">
        <f t="shared" si="9"/>
        <v>8.1465926417855893E-3</v>
      </c>
      <c r="AK27" s="12">
        <f t="shared" si="10"/>
        <v>1.5322297308057592E-2</v>
      </c>
      <c r="AL27" s="54">
        <f t="shared" si="11"/>
        <v>2826648</v>
      </c>
      <c r="AM27" s="12">
        <v>16</v>
      </c>
      <c r="AN27" s="13">
        <v>25896956</v>
      </c>
      <c r="AO27" s="13">
        <v>809279.875</v>
      </c>
      <c r="AP27" s="13">
        <v>33032.875</v>
      </c>
      <c r="AQ27" s="14">
        <v>6661736</v>
      </c>
      <c r="AR27" s="14">
        <v>2039048</v>
      </c>
      <c r="AS27" s="14">
        <v>787600</v>
      </c>
      <c r="AT27" s="14">
        <v>3835088</v>
      </c>
      <c r="AU27" s="15">
        <v>69.361837499999993</v>
      </c>
      <c r="AV27" s="15">
        <v>71.619968749999998</v>
      </c>
      <c r="AW27" s="15">
        <v>30.408684375</v>
      </c>
      <c r="AX27" s="15">
        <v>35.050609375000001</v>
      </c>
      <c r="AY27" s="15">
        <v>34.521506250000002</v>
      </c>
      <c r="AZ27" s="16">
        <v>2179.98</v>
      </c>
      <c r="BA27" s="16">
        <v>11170.6</v>
      </c>
      <c r="BB27" s="16">
        <v>78.881</v>
      </c>
      <c r="BC27" s="16">
        <v>36.442</v>
      </c>
      <c r="BE27" s="51">
        <f t="shared" si="12"/>
        <v>1.2075233759842521</v>
      </c>
      <c r="BF27" s="17">
        <f t="shared" si="13"/>
        <v>1.6777888515062529E-2</v>
      </c>
      <c r="BG27" s="17">
        <f t="shared" si="14"/>
        <v>1.4506799534627968E-2</v>
      </c>
      <c r="BH27" s="17"/>
      <c r="BJ27" s="51"/>
      <c r="BK27" s="51"/>
      <c r="BL27" s="51"/>
      <c r="BM27" s="51"/>
      <c r="BN27" s="51"/>
      <c r="BP27" s="51"/>
      <c r="BQ27" s="51"/>
      <c r="BR27" s="51"/>
      <c r="BS27" s="51"/>
      <c r="BT27" s="51"/>
    </row>
    <row r="28" spans="1:72" outlineLevel="1" x14ac:dyDescent="0.45">
      <c r="A28" s="18"/>
      <c r="B28" s="18" t="s">
        <v>71</v>
      </c>
      <c r="C28" s="19" t="s">
        <v>233</v>
      </c>
      <c r="D28" s="18">
        <v>250294582</v>
      </c>
      <c r="E28" s="19">
        <v>10</v>
      </c>
      <c r="F28" s="19">
        <v>32</v>
      </c>
      <c r="G28" s="19">
        <v>30</v>
      </c>
      <c r="I28" s="20">
        <f t="shared" si="0"/>
        <v>10.3389975</v>
      </c>
      <c r="J28" s="21">
        <f t="shared" si="1"/>
        <v>4.4061137527938977E-2</v>
      </c>
      <c r="K28" s="21">
        <f t="shared" si="2"/>
        <v>1.318660585309833E-2</v>
      </c>
      <c r="L28" s="21">
        <f t="shared" si="3"/>
        <v>1.0976985510617245E-2</v>
      </c>
      <c r="M28" s="21">
        <f t="shared" si="4"/>
        <v>3.0874531674840649E-2</v>
      </c>
      <c r="N28" s="18">
        <f t="shared" si="5"/>
        <v>3300536</v>
      </c>
      <c r="O28" s="21">
        <v>16</v>
      </c>
      <c r="P28" s="22">
        <v>25558634</v>
      </c>
      <c r="Q28" s="22">
        <v>798707.3125</v>
      </c>
      <c r="R28" s="22">
        <v>21108.9375</v>
      </c>
      <c r="S28" s="23">
        <v>11028264</v>
      </c>
      <c r="T28" s="23">
        <v>2747480</v>
      </c>
      <c r="U28" s="23">
        <v>553056</v>
      </c>
      <c r="V28" s="23">
        <v>7727728</v>
      </c>
      <c r="W28" s="24">
        <v>70.462115624999996</v>
      </c>
      <c r="X28" s="24">
        <v>72.993593750000002</v>
      </c>
      <c r="Y28" s="24">
        <v>32.704628124999999</v>
      </c>
      <c r="Z28" s="24">
        <v>36.413840624999999</v>
      </c>
      <c r="AA28" s="24">
        <v>35.864956249999999</v>
      </c>
      <c r="AB28" s="25">
        <v>2179.33</v>
      </c>
      <c r="AC28" s="25">
        <v>12355.7</v>
      </c>
      <c r="AD28" s="25">
        <v>71.051000000000002</v>
      </c>
      <c r="AE28" s="25">
        <v>37.198</v>
      </c>
      <c r="AG28" s="20">
        <f t="shared" si="6"/>
        <v>11.78163</v>
      </c>
      <c r="AH28" s="21">
        <f t="shared" si="7"/>
        <v>5.0209125181942614E-2</v>
      </c>
      <c r="AI28" s="21">
        <f t="shared" si="8"/>
        <v>1.5808636241275091E-2</v>
      </c>
      <c r="AJ28" s="21">
        <f t="shared" si="9"/>
        <v>1.2661944076759919E-2</v>
      </c>
      <c r="AK28" s="21">
        <f t="shared" si="10"/>
        <v>3.4400488940667523E-2</v>
      </c>
      <c r="AL28" s="18">
        <f t="shared" si="11"/>
        <v>3956816</v>
      </c>
      <c r="AM28" s="21">
        <v>16</v>
      </c>
      <c r="AN28" s="22">
        <v>26980950</v>
      </c>
      <c r="AO28" s="22">
        <v>843154.6875</v>
      </c>
      <c r="AP28" s="22">
        <v>38121.75</v>
      </c>
      <c r="AQ28" s="23">
        <v>12567072</v>
      </c>
      <c r="AR28" s="23">
        <v>3169216</v>
      </c>
      <c r="AS28" s="23">
        <v>787600</v>
      </c>
      <c r="AT28" s="23">
        <v>8610256</v>
      </c>
      <c r="AU28" s="24">
        <v>70.302824999999999</v>
      </c>
      <c r="AV28" s="24">
        <v>72.801071875000005</v>
      </c>
      <c r="AW28" s="24">
        <v>32.942025000000001</v>
      </c>
      <c r="AX28" s="24">
        <v>36.576746874999998</v>
      </c>
      <c r="AY28" s="24">
        <v>36.063675000000003</v>
      </c>
      <c r="AZ28" s="25">
        <v>1924.06</v>
      </c>
      <c r="BA28" s="25">
        <v>10678.7</v>
      </c>
      <c r="BB28" s="25">
        <v>92.69</v>
      </c>
      <c r="BC28" s="25">
        <v>43.237000000000002</v>
      </c>
      <c r="BE28" s="50">
        <f t="shared" si="12"/>
        <v>1.1988404307663967</v>
      </c>
      <c r="BF28" s="26">
        <f t="shared" si="13"/>
        <v>1.8784356557579408E-2</v>
      </c>
      <c r="BG28" s="26">
        <f t="shared" si="14"/>
        <v>1.5576097552254642E-2</v>
      </c>
      <c r="BH28" s="26"/>
      <c r="BJ28" s="50"/>
      <c r="BK28" s="50"/>
      <c r="BL28" s="50"/>
      <c r="BM28" s="50"/>
      <c r="BN28" s="50"/>
      <c r="BP28" s="50"/>
      <c r="BQ28" s="50"/>
      <c r="BR28" s="50"/>
      <c r="BS28" s="50"/>
      <c r="BT28" s="50"/>
    </row>
    <row r="29" spans="1:72" outlineLevel="1" x14ac:dyDescent="0.45">
      <c r="A29" s="27"/>
      <c r="B29" s="27" t="s">
        <v>71</v>
      </c>
      <c r="C29" s="28" t="s">
        <v>234</v>
      </c>
      <c r="D29" s="27">
        <v>250294582</v>
      </c>
      <c r="E29" s="28">
        <v>10</v>
      </c>
      <c r="F29" s="28">
        <v>32</v>
      </c>
      <c r="G29" s="28">
        <v>30</v>
      </c>
      <c r="I29" s="29">
        <f t="shared" si="0"/>
        <v>23.8660575</v>
      </c>
      <c r="J29" s="30">
        <f t="shared" si="1"/>
        <v>0.10170866583120844</v>
      </c>
      <c r="K29" s="30">
        <f t="shared" si="2"/>
        <v>2.1642817661950031E-2</v>
      </c>
      <c r="L29" s="30">
        <f t="shared" si="3"/>
        <v>1.7231247938079619E-2</v>
      </c>
      <c r="M29" s="30">
        <f t="shared" si="4"/>
        <v>8.0065848169258408E-2</v>
      </c>
      <c r="N29" s="27">
        <f t="shared" si="5"/>
        <v>5417080</v>
      </c>
      <c r="O29" s="30">
        <v>16</v>
      </c>
      <c r="P29" s="31">
        <v>24591050</v>
      </c>
      <c r="Q29" s="31">
        <v>768470.3125</v>
      </c>
      <c r="R29" s="31">
        <v>9839.84375</v>
      </c>
      <c r="S29" s="32">
        <v>25457128</v>
      </c>
      <c r="T29" s="32">
        <v>4312888</v>
      </c>
      <c r="U29" s="32">
        <v>1104192</v>
      </c>
      <c r="V29" s="32">
        <v>20040048</v>
      </c>
      <c r="W29" s="33">
        <v>71.138031249999997</v>
      </c>
      <c r="X29" s="33">
        <v>74.865934374999995</v>
      </c>
      <c r="Y29" s="33">
        <v>35.755878125000002</v>
      </c>
      <c r="Z29" s="33">
        <v>38.367171874999997</v>
      </c>
      <c r="AA29" s="33">
        <v>37.762050000000002</v>
      </c>
      <c r="AB29" s="34">
        <v>1794.34</v>
      </c>
      <c r="AC29" s="34">
        <v>11148.2</v>
      </c>
      <c r="AD29" s="34">
        <v>50.854999999999997</v>
      </c>
      <c r="AE29" s="34">
        <v>28.282</v>
      </c>
      <c r="AG29" s="29">
        <f t="shared" si="6"/>
        <v>26.448307499999999</v>
      </c>
      <c r="AH29" s="30">
        <f t="shared" si="7"/>
        <v>0.1127132987640939</v>
      </c>
      <c r="AI29" s="30">
        <f t="shared" si="8"/>
        <v>2.6932360845110102E-2</v>
      </c>
      <c r="AJ29" s="30">
        <f t="shared" si="9"/>
        <v>2.0002094971436499E-2</v>
      </c>
      <c r="AK29" s="30">
        <f t="shared" si="10"/>
        <v>8.5780937918983793E-2</v>
      </c>
      <c r="AL29" s="27">
        <f t="shared" si="11"/>
        <v>6741024</v>
      </c>
      <c r="AM29" s="30">
        <v>16</v>
      </c>
      <c r="AN29" s="31">
        <v>25409869</v>
      </c>
      <c r="AO29" s="31">
        <v>794058.40625</v>
      </c>
      <c r="AP29" s="31">
        <v>18916.3125</v>
      </c>
      <c r="AQ29" s="32">
        <v>28211528</v>
      </c>
      <c r="AR29" s="32">
        <v>5006416</v>
      </c>
      <c r="AS29" s="32">
        <v>1734608</v>
      </c>
      <c r="AT29" s="32">
        <v>21470504</v>
      </c>
      <c r="AU29" s="33">
        <v>71.442346874999998</v>
      </c>
      <c r="AV29" s="33">
        <v>74.706590625000004</v>
      </c>
      <c r="AW29" s="33">
        <v>35.936025000000001</v>
      </c>
      <c r="AX29" s="33">
        <v>38.606974999999998</v>
      </c>
      <c r="AY29" s="33">
        <v>38.045537500000002</v>
      </c>
      <c r="AZ29" s="34">
        <v>1416.1</v>
      </c>
      <c r="BA29" s="34">
        <v>8491.48</v>
      </c>
      <c r="BB29" s="34">
        <v>57.46</v>
      </c>
      <c r="BC29" s="34">
        <v>31.469000000000001</v>
      </c>
      <c r="BE29" s="35">
        <f t="shared" si="12"/>
        <v>1.2444017810333241</v>
      </c>
      <c r="BF29" s="36">
        <f t="shared" si="13"/>
        <v>1.1017863521158912E-2</v>
      </c>
      <c r="BG29" s="36">
        <f t="shared" si="14"/>
        <v>2.6153456751484311E-2</v>
      </c>
      <c r="BH29" s="36"/>
      <c r="BJ29" s="35"/>
      <c r="BK29" s="35"/>
      <c r="BL29" s="35"/>
      <c r="BM29" s="35"/>
      <c r="BN29" s="35"/>
      <c r="BP29" s="35"/>
      <c r="BQ29" s="35"/>
      <c r="BR29" s="35"/>
      <c r="BS29" s="35"/>
      <c r="BT29" s="35"/>
    </row>
    <row r="30" spans="1:72" x14ac:dyDescent="0.45">
      <c r="A30" s="18" t="s">
        <v>236</v>
      </c>
      <c r="B30" s="18" t="s">
        <v>75</v>
      </c>
      <c r="C30" s="19" t="s">
        <v>230</v>
      </c>
      <c r="D30" s="18">
        <v>375422539</v>
      </c>
      <c r="E30" s="19">
        <v>11</v>
      </c>
      <c r="F30" s="19">
        <v>32</v>
      </c>
      <c r="G30" s="19">
        <v>30</v>
      </c>
      <c r="I30" s="20">
        <f t="shared" si="0"/>
        <v>3.7191225000000001</v>
      </c>
      <c r="J30" s="21">
        <f t="shared" si="1"/>
        <v>1.0566930825642303E-2</v>
      </c>
      <c r="K30" s="21">
        <f t="shared" si="2"/>
        <v>8.3820433594158812E-3</v>
      </c>
      <c r="L30" s="21">
        <f t="shared" si="3"/>
        <v>5.2756768554058494E-3</v>
      </c>
      <c r="M30" s="21">
        <f t="shared" si="4"/>
        <v>2.1848874662264216E-3</v>
      </c>
      <c r="N30" s="18">
        <f t="shared" si="5"/>
        <v>3146808</v>
      </c>
      <c r="O30" s="21">
        <v>16</v>
      </c>
      <c r="P30" s="22">
        <v>86243398</v>
      </c>
      <c r="Q30" s="22">
        <v>2695106.1875</v>
      </c>
      <c r="R30" s="22">
        <v>33846.0625</v>
      </c>
      <c r="S30" s="23">
        <v>3967064</v>
      </c>
      <c r="T30" s="23">
        <v>1980608</v>
      </c>
      <c r="U30" s="23">
        <v>1166200</v>
      </c>
      <c r="V30" s="23">
        <v>820256</v>
      </c>
      <c r="W30" s="24">
        <v>73.637074999999996</v>
      </c>
      <c r="X30" s="24">
        <v>75.742599999999996</v>
      </c>
      <c r="Y30" s="24">
        <v>33.230943750000002</v>
      </c>
      <c r="Z30" s="24">
        <v>41.929218749999997</v>
      </c>
      <c r="AA30" s="24">
        <v>43.316118750000001</v>
      </c>
      <c r="AB30" s="25">
        <v>4309.8500000000004</v>
      </c>
      <c r="AC30" s="25">
        <v>29770</v>
      </c>
      <c r="AD30" s="25">
        <v>192.21</v>
      </c>
      <c r="AE30" s="25">
        <v>129.19</v>
      </c>
      <c r="AG30" s="20">
        <f t="shared" si="6"/>
        <v>4.1258324999999996</v>
      </c>
      <c r="AH30" s="21">
        <f t="shared" si="7"/>
        <v>1.1722492772337252E-2</v>
      </c>
      <c r="AI30" s="21">
        <f t="shared" si="8"/>
        <v>9.2829375915546714E-3</v>
      </c>
      <c r="AJ30" s="21">
        <f t="shared" si="9"/>
        <v>5.5396354346215742E-3</v>
      </c>
      <c r="AK30" s="21">
        <f t="shared" si="10"/>
        <v>2.4395551807825794E-3</v>
      </c>
      <c r="AL30" s="18">
        <f t="shared" si="11"/>
        <v>3485024</v>
      </c>
      <c r="AM30" s="21">
        <v>16</v>
      </c>
      <c r="AN30" s="22">
        <v>86294219</v>
      </c>
      <c r="AO30" s="22">
        <v>2696694.34375</v>
      </c>
      <c r="AP30" s="22">
        <v>43133.625</v>
      </c>
      <c r="AQ30" s="23">
        <v>4400888</v>
      </c>
      <c r="AR30" s="23">
        <v>2079704</v>
      </c>
      <c r="AS30" s="23">
        <v>1405320</v>
      </c>
      <c r="AT30" s="23">
        <v>915864</v>
      </c>
      <c r="AU30" s="24">
        <v>73.656128124999995</v>
      </c>
      <c r="AV30" s="24">
        <v>75.742999999999995</v>
      </c>
      <c r="AW30" s="24">
        <v>33.279981249999999</v>
      </c>
      <c r="AX30" s="24">
        <v>41.839071875000002</v>
      </c>
      <c r="AY30" s="24">
        <v>43.244353125000004</v>
      </c>
      <c r="AZ30" s="25">
        <v>3166.21</v>
      </c>
      <c r="BA30" s="25">
        <v>21598.3</v>
      </c>
      <c r="BB30" s="25">
        <v>223.364</v>
      </c>
      <c r="BC30" s="25">
        <v>135.03200000000001</v>
      </c>
      <c r="BE30" s="50">
        <f t="shared" si="12"/>
        <v>1.1074790708552922</v>
      </c>
      <c r="BF30" s="26">
        <f t="shared" si="13"/>
        <v>3.4366586312424598E-3</v>
      </c>
      <c r="BG30" s="26">
        <f t="shared" si="14"/>
        <v>-1.3423934407562621E-3</v>
      </c>
      <c r="BH30" s="26">
        <f t="array" ref="BH30">AVERAGE(AL30:AL34/AQ30:AQ34) - AVERAGE(N30:N34/S30:S34)</f>
        <v>3.201271257630034E-3</v>
      </c>
      <c r="BJ30" s="50">
        <f>IF( OR(ISBLANK(N30:N34),ISBLANK(AL30:AL34), ISBLANK(W30:W34),ISBLANK(AU30:AU34)), "·", bdRateExtend( N30:N34,W30:W34, AL30:AL34,AU30:AU34))</f>
        <v>9.2704658266792528E-2</v>
      </c>
      <c r="BK30" s="50">
        <f>IF( OR(ISBLANK(N30:N34),ISBLANK(AL30:AL34), ISBLANK(X30:X34),ISBLANK(AV30:AV34)), "·", bdRateExtend( N30:N34,X30:X34, AL30:AL34,AV30:AV34))</f>
        <v>0.10762196186741901</v>
      </c>
      <c r="BL30" s="50">
        <f>IF( OR(ISBLANK(V30:V34),ISBLANK(AT30:AT34), ISBLANK(Y30:Y34),ISBLANK(AW30:AW34)), "·", bdRateExtend( V30:V34,Y30:Y34, AT30:AT34,AW30:AW34))</f>
        <v>5.834121449997598E-2</v>
      </c>
      <c r="BM30" s="50">
        <f>IF( OR(ISBLANK(V30:V34),ISBLANK(AT30:AT34), ISBLANK(Z30:Z34),ISBLANK(AX30:AX34)), "·", bdRateExtend( V30:V34,Z30:Z34, AT30:AT34,AX30:AX34))</f>
        <v>9.524102632138054E-2</v>
      </c>
      <c r="BN30" s="50">
        <f>IF( OR(ISBLANK(V30:V34),ISBLANK(AT30:AT34), ISBLANK(AA30:AA34),ISBLANK(AY30:AY34)), "·", bdRateExtend( V30:V34,AA30:AA34, AT30:AT34,AY30:AY34))</f>
        <v>5.9440486853879371E-2</v>
      </c>
      <c r="BP30" s="50">
        <f>IF( OR(ISBLANK(S30:S34),ISBLANK(AQ30:AQ34), ISBLANK(W30:W34),ISBLANK(AU30:AU34)), "·", bdRateExtend( S30:S34,W30:W34, AQ30:AQ34,AU30:AU34))</f>
        <v>8.5943415852797189E-2</v>
      </c>
      <c r="BQ30" s="50">
        <f>IF( OR(ISBLANK(S30:S34),ISBLANK(AQ30:AQ34), ISBLANK(X30:X34),ISBLANK(AV30:AV34)), "·", bdRateExtend( S30:S34,X30:X34, AQ30:AQ34,AV30:AV34))</f>
        <v>0.10538776145207485</v>
      </c>
      <c r="BR30" s="50">
        <f>IF( OR(ISBLANK(S30:S34),ISBLANK(AQ30:AQ34), ISBLANK(Y30:Y34),ISBLANK(AW30:AW34)), "·", bdRateExtend( S30:S34,Y30:Y34, AQ30:AQ34,AW30:AW34))</f>
        <v>7.2679413567389828E-2</v>
      </c>
      <c r="BS30" s="50">
        <f>IF( OR(ISBLANK(S30:S34),ISBLANK(AQ30:AQ34), ISBLANK(Z30:Z34),ISBLANK(AX30:AX34)), "·", bdRateExtend( S30:S34,Z30:Z34, AQ30:AQ34,AX30:AX34))</f>
        <v>9.5269147308342683E-2</v>
      </c>
      <c r="BT30" s="50">
        <f>IF( OR(ISBLANK(S30:S34),ISBLANK(AQ30:AQ34), ISBLANK(AA30:AA34),ISBLANK(AY30:AY34)), "·", bdRateExtend( S30:S34,AA30:AA34, AQ30:AQ34,AY30:AY34))</f>
        <v>7.3642948982481693E-2</v>
      </c>
    </row>
    <row r="31" spans="1:72" outlineLevel="1" x14ac:dyDescent="0.45">
      <c r="A31" s="54"/>
      <c r="B31" s="54" t="s">
        <v>75</v>
      </c>
      <c r="C31" s="10" t="s">
        <v>231</v>
      </c>
      <c r="D31" s="54">
        <v>375422539</v>
      </c>
      <c r="E31" s="10">
        <v>11</v>
      </c>
      <c r="F31" s="10">
        <v>32</v>
      </c>
      <c r="G31" s="10">
        <v>30</v>
      </c>
      <c r="I31" s="11">
        <f t="shared" si="0"/>
        <v>4.9565625000000004</v>
      </c>
      <c r="J31" s="12">
        <f t="shared" si="1"/>
        <v>1.4082798582319533E-2</v>
      </c>
      <c r="K31" s="12">
        <f t="shared" si="2"/>
        <v>1.0321894924907532E-2</v>
      </c>
      <c r="L31" s="12">
        <f t="shared" si="3"/>
        <v>7.2155284208974997E-3</v>
      </c>
      <c r="M31" s="12">
        <f t="shared" si="4"/>
        <v>3.7609036574120019E-3</v>
      </c>
      <c r="N31" s="54">
        <f t="shared" si="5"/>
        <v>3875072</v>
      </c>
      <c r="O31" s="12">
        <v>16</v>
      </c>
      <c r="P31" s="13">
        <v>90541792</v>
      </c>
      <c r="Q31" s="13">
        <v>2829431</v>
      </c>
      <c r="R31" s="13">
        <v>41460.6875</v>
      </c>
      <c r="S31" s="14">
        <v>5287000</v>
      </c>
      <c r="T31" s="14">
        <v>2708872</v>
      </c>
      <c r="U31" s="14">
        <v>1166200</v>
      </c>
      <c r="V31" s="14">
        <v>1411928</v>
      </c>
      <c r="W31" s="15">
        <v>75.252650000000003</v>
      </c>
      <c r="X31" s="15">
        <v>77.584662499999993</v>
      </c>
      <c r="Y31" s="15">
        <v>35.168300000000002</v>
      </c>
      <c r="Z31" s="15">
        <v>42.577665625000002</v>
      </c>
      <c r="AA31" s="15">
        <v>44.702896875</v>
      </c>
      <c r="AB31" s="16">
        <v>4117.21</v>
      </c>
      <c r="AC31" s="16">
        <v>27282.9</v>
      </c>
      <c r="AD31" s="16">
        <v>218.405</v>
      </c>
      <c r="AE31" s="16">
        <v>158.09299999999999</v>
      </c>
      <c r="AG31" s="11">
        <f t="shared" si="6"/>
        <v>5.4868050000000004</v>
      </c>
      <c r="AH31" s="12">
        <f t="shared" si="7"/>
        <v>1.5589346381784499E-2</v>
      </c>
      <c r="AI31" s="12">
        <f t="shared" si="8"/>
        <v>1.140246936532492E-2</v>
      </c>
      <c r="AJ31" s="12">
        <f t="shared" si="9"/>
        <v>7.6591672083918226E-3</v>
      </c>
      <c r="AK31" s="12">
        <f t="shared" si="10"/>
        <v>4.1868770164595788E-3</v>
      </c>
      <c r="AL31" s="54">
        <f t="shared" si="11"/>
        <v>4280744</v>
      </c>
      <c r="AM31" s="12">
        <v>16</v>
      </c>
      <c r="AN31" s="13">
        <v>91468181</v>
      </c>
      <c r="AO31" s="13">
        <v>2858380.65625</v>
      </c>
      <c r="AP31" s="13">
        <v>53784</v>
      </c>
      <c r="AQ31" s="14">
        <v>5852592</v>
      </c>
      <c r="AR31" s="14">
        <v>2875424</v>
      </c>
      <c r="AS31" s="14">
        <v>1405320</v>
      </c>
      <c r="AT31" s="14">
        <v>1571848</v>
      </c>
      <c r="AU31" s="15">
        <v>75.303934374999997</v>
      </c>
      <c r="AV31" s="15">
        <v>77.572915624999993</v>
      </c>
      <c r="AW31" s="15">
        <v>35.239312499999997</v>
      </c>
      <c r="AX31" s="15">
        <v>42.554734375000002</v>
      </c>
      <c r="AY31" s="15">
        <v>44.75101875</v>
      </c>
      <c r="AZ31" s="16">
        <v>4724.7299999999996</v>
      </c>
      <c r="BA31" s="16">
        <v>27015</v>
      </c>
      <c r="BB31" s="16">
        <v>281.47000000000003</v>
      </c>
      <c r="BC31" s="16">
        <v>177.09100000000001</v>
      </c>
      <c r="BE31" s="51">
        <f t="shared" si="12"/>
        <v>1.1046876032238884</v>
      </c>
      <c r="BF31" s="17">
        <f t="shared" si="13"/>
        <v>4.1628824245795362E-3</v>
      </c>
      <c r="BG31" s="17">
        <f t="shared" si="14"/>
        <v>-1.516413516745474E-3</v>
      </c>
      <c r="BH31" s="17"/>
      <c r="BJ31" s="51"/>
      <c r="BK31" s="51"/>
      <c r="BL31" s="51"/>
      <c r="BM31" s="51"/>
      <c r="BN31" s="51"/>
      <c r="BP31" s="51"/>
      <c r="BQ31" s="51"/>
      <c r="BR31" s="51"/>
      <c r="BS31" s="51"/>
      <c r="BT31" s="51"/>
    </row>
    <row r="32" spans="1:72" outlineLevel="1" x14ac:dyDescent="0.45">
      <c r="A32" s="18"/>
      <c r="B32" s="18" t="s">
        <v>75</v>
      </c>
      <c r="C32" s="19" t="s">
        <v>232</v>
      </c>
      <c r="D32" s="18">
        <v>375422539</v>
      </c>
      <c r="E32" s="19">
        <v>11</v>
      </c>
      <c r="F32" s="19">
        <v>32</v>
      </c>
      <c r="G32" s="19">
        <v>30</v>
      </c>
      <c r="I32" s="20">
        <f t="shared" si="0"/>
        <v>7.1605800000000004</v>
      </c>
      <c r="J32" s="21">
        <f t="shared" si="1"/>
        <v>2.0344947909480736E-2</v>
      </c>
      <c r="K32" s="21">
        <f t="shared" si="2"/>
        <v>1.3213229054422862E-2</v>
      </c>
      <c r="L32" s="21">
        <f t="shared" si="3"/>
        <v>1.0106862550412829E-2</v>
      </c>
      <c r="M32" s="21">
        <f t="shared" si="4"/>
        <v>7.1317188550578739E-3</v>
      </c>
      <c r="N32" s="18">
        <f t="shared" si="5"/>
        <v>4960544</v>
      </c>
      <c r="O32" s="21">
        <v>16</v>
      </c>
      <c r="P32" s="22">
        <v>91787366</v>
      </c>
      <c r="Q32" s="22">
        <v>2868355.1875</v>
      </c>
      <c r="R32" s="22">
        <v>44534.90625</v>
      </c>
      <c r="S32" s="23">
        <v>7637952</v>
      </c>
      <c r="T32" s="23">
        <v>3794344</v>
      </c>
      <c r="U32" s="23">
        <v>1166200</v>
      </c>
      <c r="V32" s="23">
        <v>2677408</v>
      </c>
      <c r="W32" s="24">
        <v>76.469399999999993</v>
      </c>
      <c r="X32" s="24">
        <v>79.114190625000006</v>
      </c>
      <c r="Y32" s="24">
        <v>36.951524999999997</v>
      </c>
      <c r="Z32" s="24">
        <v>43.104759375</v>
      </c>
      <c r="AA32" s="24">
        <v>45.735421875</v>
      </c>
      <c r="AB32" s="25">
        <v>5023.5600000000004</v>
      </c>
      <c r="AC32" s="25">
        <v>41541.199999999997</v>
      </c>
      <c r="AD32" s="25">
        <v>204.45400000000001</v>
      </c>
      <c r="AE32" s="25">
        <v>128.35900000000001</v>
      </c>
      <c r="AG32" s="20">
        <f t="shared" si="6"/>
        <v>7.8573824999999999</v>
      </c>
      <c r="AH32" s="21">
        <f t="shared" si="7"/>
        <v>2.2324733145550432E-2</v>
      </c>
      <c r="AI32" s="21">
        <f t="shared" si="8"/>
        <v>1.4502528309841301E-2</v>
      </c>
      <c r="AJ32" s="21">
        <f t="shared" si="9"/>
        <v>1.0759226152908204E-2</v>
      </c>
      <c r="AK32" s="21">
        <f t="shared" si="10"/>
        <v>7.8222048357091314E-3</v>
      </c>
      <c r="AL32" s="18">
        <f t="shared" si="11"/>
        <v>5444576</v>
      </c>
      <c r="AM32" s="21">
        <v>16</v>
      </c>
      <c r="AN32" s="22">
        <v>92811376</v>
      </c>
      <c r="AO32" s="22">
        <v>2900355.5</v>
      </c>
      <c r="AP32" s="22">
        <v>58018.78125</v>
      </c>
      <c r="AQ32" s="23">
        <v>8381208</v>
      </c>
      <c r="AR32" s="23">
        <v>4039256</v>
      </c>
      <c r="AS32" s="23">
        <v>1405320</v>
      </c>
      <c r="AT32" s="23">
        <v>2936632</v>
      </c>
      <c r="AU32" s="24">
        <v>76.540812500000001</v>
      </c>
      <c r="AV32" s="24">
        <v>79.091846875000002</v>
      </c>
      <c r="AW32" s="24">
        <v>37.040018750000002</v>
      </c>
      <c r="AX32" s="24">
        <v>43.110334375000001</v>
      </c>
      <c r="AY32" s="24">
        <v>45.850484375000001</v>
      </c>
      <c r="AZ32" s="25">
        <v>4354.8500000000004</v>
      </c>
      <c r="BA32" s="25">
        <v>36390.1</v>
      </c>
      <c r="BB32" s="25">
        <v>234.5</v>
      </c>
      <c r="BC32" s="25">
        <v>169.571</v>
      </c>
      <c r="BE32" s="50">
        <f t="shared" si="12"/>
        <v>1.0975763948470167</v>
      </c>
      <c r="BF32" s="26">
        <f t="shared" si="13"/>
        <v>4.4777369393765344E-3</v>
      </c>
      <c r="BG32" s="26">
        <f t="shared" si="14"/>
        <v>1.5713582210952204E-4</v>
      </c>
      <c r="BH32" s="26"/>
      <c r="BJ32" s="50"/>
      <c r="BK32" s="50"/>
      <c r="BL32" s="50"/>
      <c r="BM32" s="50"/>
      <c r="BN32" s="50"/>
      <c r="BP32" s="50"/>
      <c r="BQ32" s="50"/>
      <c r="BR32" s="50"/>
      <c r="BS32" s="50"/>
      <c r="BT32" s="50"/>
    </row>
    <row r="33" spans="1:72" outlineLevel="1" x14ac:dyDescent="0.45">
      <c r="A33" s="54"/>
      <c r="B33" s="54" t="s">
        <v>75</v>
      </c>
      <c r="C33" s="10" t="s">
        <v>233</v>
      </c>
      <c r="D33" s="54">
        <v>375422539</v>
      </c>
      <c r="E33" s="10">
        <v>11</v>
      </c>
      <c r="F33" s="10">
        <v>32</v>
      </c>
      <c r="G33" s="10">
        <v>30</v>
      </c>
      <c r="I33" s="11">
        <f t="shared" si="0"/>
        <v>11.997142500000001</v>
      </c>
      <c r="J33" s="12">
        <f t="shared" si="1"/>
        <v>3.4086797329981301E-2</v>
      </c>
      <c r="K33" s="12">
        <f t="shared" si="2"/>
        <v>1.8543265991816223E-2</v>
      </c>
      <c r="L33" s="12">
        <f t="shared" si="3"/>
        <v>1.5436899487806192E-2</v>
      </c>
      <c r="M33" s="12">
        <f t="shared" si="4"/>
        <v>1.5543531338165075E-2</v>
      </c>
      <c r="N33" s="54">
        <f t="shared" si="5"/>
        <v>6961560</v>
      </c>
      <c r="O33" s="12">
        <v>16</v>
      </c>
      <c r="P33" s="13">
        <v>94114766</v>
      </c>
      <c r="Q33" s="13">
        <v>2941086.4375</v>
      </c>
      <c r="R33" s="13">
        <v>49715.25</v>
      </c>
      <c r="S33" s="14">
        <v>12796952</v>
      </c>
      <c r="T33" s="14">
        <v>5795360</v>
      </c>
      <c r="U33" s="14">
        <v>1166200</v>
      </c>
      <c r="V33" s="14">
        <v>5835392</v>
      </c>
      <c r="W33" s="15">
        <v>77.566353125000006</v>
      </c>
      <c r="X33" s="15">
        <v>80.266603125000003</v>
      </c>
      <c r="Y33" s="15">
        <v>38.717028124999999</v>
      </c>
      <c r="Z33" s="15">
        <v>43.694290625000001</v>
      </c>
      <c r="AA33" s="15">
        <v>47.348471875000001</v>
      </c>
      <c r="AB33" s="16">
        <v>4052.57</v>
      </c>
      <c r="AC33" s="16">
        <v>27560.2</v>
      </c>
      <c r="AD33" s="16">
        <v>184.78700000000001</v>
      </c>
      <c r="AE33" s="16">
        <v>115.583</v>
      </c>
      <c r="AG33" s="11">
        <f t="shared" si="6"/>
        <v>13.010317499999999</v>
      </c>
      <c r="AH33" s="12">
        <f t="shared" si="7"/>
        <v>3.6965473721864102E-2</v>
      </c>
      <c r="AI33" s="12">
        <f t="shared" si="8"/>
        <v>2.0274137030435457E-2</v>
      </c>
      <c r="AJ33" s="12">
        <f t="shared" si="9"/>
        <v>1.6530834873502362E-2</v>
      </c>
      <c r="AK33" s="12">
        <f t="shared" si="10"/>
        <v>1.6691336691428641E-2</v>
      </c>
      <c r="AL33" s="54">
        <f t="shared" si="11"/>
        <v>7611368</v>
      </c>
      <c r="AM33" s="12">
        <v>16</v>
      </c>
      <c r="AN33" s="13">
        <v>95400776</v>
      </c>
      <c r="AO33" s="13">
        <v>2981274.25</v>
      </c>
      <c r="AP33" s="13">
        <v>65397.5625</v>
      </c>
      <c r="AQ33" s="14">
        <v>13877672</v>
      </c>
      <c r="AR33" s="14">
        <v>6206048</v>
      </c>
      <c r="AS33" s="14">
        <v>1405320</v>
      </c>
      <c r="AT33" s="14">
        <v>6266304</v>
      </c>
      <c r="AU33" s="15">
        <v>77.521174999999999</v>
      </c>
      <c r="AV33" s="15">
        <v>80.215090625000002</v>
      </c>
      <c r="AW33" s="15">
        <v>38.807162499999997</v>
      </c>
      <c r="AX33" s="15">
        <v>43.705512499999998</v>
      </c>
      <c r="AY33" s="15">
        <v>47.397271875000001</v>
      </c>
      <c r="AZ33" s="16">
        <v>3714.63</v>
      </c>
      <c r="BA33" s="16">
        <v>36898.699999999997</v>
      </c>
      <c r="BB33" s="16">
        <v>240.85300000000001</v>
      </c>
      <c r="BC33" s="16">
        <v>150.851</v>
      </c>
      <c r="BE33" s="51">
        <f t="shared" si="12"/>
        <v>1.0933422968415125</v>
      </c>
      <c r="BF33" s="17">
        <f t="shared" si="13"/>
        <v>5.0324084326178221E-3</v>
      </c>
      <c r="BG33" s="17">
        <f t="shared" si="14"/>
        <v>4.4600268991058512E-3</v>
      </c>
      <c r="BH33" s="17"/>
      <c r="BJ33" s="51"/>
      <c r="BK33" s="51"/>
      <c r="BL33" s="51"/>
      <c r="BM33" s="51"/>
      <c r="BN33" s="51"/>
      <c r="BP33" s="51"/>
      <c r="BQ33" s="51"/>
      <c r="BR33" s="51"/>
      <c r="BS33" s="51"/>
      <c r="BT33" s="51"/>
    </row>
    <row r="34" spans="1:72" outlineLevel="1" x14ac:dyDescent="0.45">
      <c r="A34" s="18"/>
      <c r="B34" s="37" t="s">
        <v>75</v>
      </c>
      <c r="C34" s="38" t="s">
        <v>234</v>
      </c>
      <c r="D34" s="37">
        <v>375422539</v>
      </c>
      <c r="E34" s="38">
        <v>11</v>
      </c>
      <c r="F34" s="38">
        <v>32</v>
      </c>
      <c r="G34" s="38">
        <v>30</v>
      </c>
      <c r="I34" s="39">
        <f t="shared" si="0"/>
        <v>24.630690000000001</v>
      </c>
      <c r="J34" s="40">
        <f t="shared" si="1"/>
        <v>6.9981775921024281E-2</v>
      </c>
      <c r="K34" s="40">
        <f t="shared" si="2"/>
        <v>3.0977404902160124E-2</v>
      </c>
      <c r="L34" s="40">
        <f t="shared" si="3"/>
        <v>2.459758549552615E-2</v>
      </c>
      <c r="M34" s="40">
        <f t="shared" si="4"/>
        <v>3.9004371018864163E-2</v>
      </c>
      <c r="N34" s="37">
        <f t="shared" si="5"/>
        <v>11629616</v>
      </c>
      <c r="O34" s="40">
        <v>16</v>
      </c>
      <c r="P34" s="41">
        <v>92205535</v>
      </c>
      <c r="Q34" s="41">
        <v>2881422.96875</v>
      </c>
      <c r="R34" s="41">
        <v>21180.46875</v>
      </c>
      <c r="S34" s="42">
        <v>26272736</v>
      </c>
      <c r="T34" s="42">
        <v>9234488</v>
      </c>
      <c r="U34" s="42">
        <v>2395128</v>
      </c>
      <c r="V34" s="42">
        <v>14643120</v>
      </c>
      <c r="W34" s="43">
        <v>78.500296875000004</v>
      </c>
      <c r="X34" s="43">
        <v>81.895681249999996</v>
      </c>
      <c r="Y34" s="43">
        <v>40.507771875000003</v>
      </c>
      <c r="Z34" s="43">
        <v>44.376384375000001</v>
      </c>
      <c r="AA34" s="43">
        <v>48.811853124999999</v>
      </c>
      <c r="AB34" s="44">
        <v>3972.79</v>
      </c>
      <c r="AC34" s="44">
        <v>28343.3</v>
      </c>
      <c r="AD34" s="44">
        <v>286.49599999999998</v>
      </c>
      <c r="AE34" s="44">
        <v>186.68899999999999</v>
      </c>
      <c r="AG34" s="39">
        <f t="shared" si="6"/>
        <v>26.462910000000001</v>
      </c>
      <c r="AH34" s="40">
        <f t="shared" si="7"/>
        <v>7.5187558198257246E-2</v>
      </c>
      <c r="AI34" s="40">
        <f t="shared" si="8"/>
        <v>3.4353014697394074E-2</v>
      </c>
      <c r="AJ34" s="40">
        <f t="shared" si="9"/>
        <v>2.6437240626088248E-2</v>
      </c>
      <c r="AK34" s="40">
        <f t="shared" si="10"/>
        <v>4.0834543500863171E-2</v>
      </c>
      <c r="AL34" s="37">
        <f t="shared" si="11"/>
        <v>12896896</v>
      </c>
      <c r="AM34" s="40">
        <v>16</v>
      </c>
      <c r="AN34" s="41">
        <v>92952724</v>
      </c>
      <c r="AO34" s="41">
        <v>2904772.625</v>
      </c>
      <c r="AP34" s="41">
        <v>28735.65625</v>
      </c>
      <c r="AQ34" s="42">
        <v>28227104</v>
      </c>
      <c r="AR34" s="42">
        <v>9925136</v>
      </c>
      <c r="AS34" s="42">
        <v>2971760</v>
      </c>
      <c r="AT34" s="42">
        <v>15330208</v>
      </c>
      <c r="AU34" s="43">
        <v>78.632681250000005</v>
      </c>
      <c r="AV34" s="43">
        <v>81.893612500000003</v>
      </c>
      <c r="AW34" s="43">
        <v>40.591112500000001</v>
      </c>
      <c r="AX34" s="43">
        <v>44.390559375000002</v>
      </c>
      <c r="AY34" s="43">
        <v>48.857768749999998</v>
      </c>
      <c r="AZ34" s="44">
        <v>4914.46</v>
      </c>
      <c r="BA34" s="44">
        <v>49436.3</v>
      </c>
      <c r="BB34" s="44">
        <v>210.77799999999999</v>
      </c>
      <c r="BC34" s="44">
        <v>155.232</v>
      </c>
      <c r="BE34" s="45">
        <f t="shared" si="12"/>
        <v>1.1089700640158711</v>
      </c>
      <c r="BF34" s="46">
        <f t="shared" si="13"/>
        <v>2.5418689144613279E-3</v>
      </c>
      <c r="BG34" s="46">
        <f t="shared" si="14"/>
        <v>1.4248000524436866E-2</v>
      </c>
      <c r="BH34" s="46"/>
      <c r="BJ34" s="45"/>
      <c r="BK34" s="45"/>
      <c r="BL34" s="45"/>
      <c r="BM34" s="45"/>
      <c r="BN34" s="45"/>
      <c r="BP34" s="45"/>
      <c r="BQ34" s="45"/>
      <c r="BR34" s="45"/>
      <c r="BS34" s="45"/>
      <c r="BT34" s="45"/>
    </row>
    <row r="35" spans="1:72" x14ac:dyDescent="0.45">
      <c r="A35" s="54"/>
      <c r="B35" s="54" t="s">
        <v>80</v>
      </c>
      <c r="C35" s="10" t="s">
        <v>230</v>
      </c>
      <c r="D35" s="54">
        <v>333190689</v>
      </c>
      <c r="E35" s="10">
        <v>11</v>
      </c>
      <c r="F35" s="10">
        <v>32</v>
      </c>
      <c r="G35" s="10">
        <v>30</v>
      </c>
      <c r="I35" s="11">
        <f t="shared" si="0"/>
        <v>4.6538174999999997</v>
      </c>
      <c r="J35" s="12">
        <f t="shared" si="1"/>
        <v>1.4898591598998734E-2</v>
      </c>
      <c r="K35" s="12">
        <f t="shared" si="2"/>
        <v>1.1175390318305084E-2</v>
      </c>
      <c r="L35" s="12">
        <f t="shared" si="3"/>
        <v>7.155662143968255E-3</v>
      </c>
      <c r="M35" s="12">
        <f t="shared" si="4"/>
        <v>3.7232012806936512E-3</v>
      </c>
      <c r="N35" s="54">
        <f t="shared" si="5"/>
        <v>3723536</v>
      </c>
      <c r="O35" s="12">
        <v>16</v>
      </c>
      <c r="P35" s="13">
        <v>74793925</v>
      </c>
      <c r="Q35" s="13">
        <v>2337310.15625</v>
      </c>
      <c r="R35" s="13">
        <v>30824.78125</v>
      </c>
      <c r="S35" s="14">
        <v>4964072</v>
      </c>
      <c r="T35" s="14">
        <v>2384200</v>
      </c>
      <c r="U35" s="14">
        <v>1339336</v>
      </c>
      <c r="V35" s="14">
        <v>1240536</v>
      </c>
      <c r="W35" s="15">
        <v>73.186065624999998</v>
      </c>
      <c r="X35" s="15">
        <v>75.395090624999995</v>
      </c>
      <c r="Y35" s="15">
        <v>31.779946875</v>
      </c>
      <c r="Z35" s="15">
        <v>42.169849999999997</v>
      </c>
      <c r="AA35" s="15">
        <v>43.305712499999998</v>
      </c>
      <c r="AB35" s="16">
        <v>3654.73</v>
      </c>
      <c r="AC35" s="16">
        <v>30246.3</v>
      </c>
      <c r="AD35" s="16">
        <v>180.40600000000001</v>
      </c>
      <c r="AE35" s="16">
        <v>151.40799999999999</v>
      </c>
      <c r="AG35" s="11">
        <f t="shared" si="6"/>
        <v>5.1322049999999999</v>
      </c>
      <c r="AH35" s="12">
        <f t="shared" si="7"/>
        <v>1.6430086976410078E-2</v>
      </c>
      <c r="AI35" s="12">
        <f t="shared" si="8"/>
        <v>1.2388749554763219E-2</v>
      </c>
      <c r="AJ35" s="12">
        <f t="shared" si="9"/>
        <v>7.4736542232727281E-3</v>
      </c>
      <c r="AK35" s="12">
        <f t="shared" si="10"/>
        <v>4.0413374216468579E-3</v>
      </c>
      <c r="AL35" s="54">
        <f t="shared" si="11"/>
        <v>4127816</v>
      </c>
      <c r="AM35" s="12">
        <v>16</v>
      </c>
      <c r="AN35" s="13">
        <v>75603354</v>
      </c>
      <c r="AO35" s="13">
        <v>2362604.8125</v>
      </c>
      <c r="AP35" s="13">
        <v>42737.84375</v>
      </c>
      <c r="AQ35" s="14">
        <v>5474352</v>
      </c>
      <c r="AR35" s="14">
        <v>2490152</v>
      </c>
      <c r="AS35" s="14">
        <v>1637664</v>
      </c>
      <c r="AT35" s="14">
        <v>1346536</v>
      </c>
      <c r="AU35" s="15">
        <v>73.257259375000004</v>
      </c>
      <c r="AV35" s="15">
        <v>75.386278125000004</v>
      </c>
      <c r="AW35" s="15">
        <v>31.84176875</v>
      </c>
      <c r="AX35" s="15">
        <v>42.092462500000003</v>
      </c>
      <c r="AY35" s="15">
        <v>43.289256250000001</v>
      </c>
      <c r="AZ35" s="16">
        <v>4566.4799999999996</v>
      </c>
      <c r="BA35" s="16">
        <v>35660</v>
      </c>
      <c r="BB35" s="16">
        <v>162.572</v>
      </c>
      <c r="BC35" s="16">
        <v>122.364</v>
      </c>
      <c r="BE35" s="51">
        <f t="shared" si="12"/>
        <v>1.1085742154769016</v>
      </c>
      <c r="BF35" s="17">
        <f t="shared" si="13"/>
        <v>4.9011467714280711E-3</v>
      </c>
      <c r="BG35" s="17">
        <f t="shared" si="14"/>
        <v>3.9311416187622905E-3</v>
      </c>
      <c r="BH35" s="17">
        <f t="array" ref="BH35">AVERAGE(AL35:AL39/AQ35:AQ39) - AVERAGE(N35:N39/S35:S39)</f>
        <v>5.7233319220151291E-3</v>
      </c>
      <c r="BJ35" s="51">
        <f>IF( OR(ISBLANK(N35:N39),ISBLANK(AL35:AL39), ISBLANK(W35:W39),ISBLANK(AU35:AU39)), "·", bdRateExtend( N35:N39,W35:W39, AL35:AL39,AU35:AU39))</f>
        <v>8.1743997461211526E-2</v>
      </c>
      <c r="BK35" s="51">
        <f>IF( OR(ISBLANK(N35:N39),ISBLANK(AL35:AL39), ISBLANK(X35:X39),ISBLANK(AV35:AV39)), "·", bdRateExtend( N35:N39,X35:X39, AL35:AL39,AV35:AV39))</f>
        <v>0.10004274255846868</v>
      </c>
      <c r="BL35" s="51">
        <f>IF( OR(ISBLANK(V35:V39),ISBLANK(AT35:AT39), ISBLANK(Y35:Y39),ISBLANK(AW35:AW39)), "·", bdRateExtend( V35:V39,Y35:Y39, AT35:AT39,AW35:AW39))</f>
        <v>4.6879160640097783E-2</v>
      </c>
      <c r="BM35" s="51">
        <f>IF( OR(ISBLANK(V35:V39),ISBLANK(AT35:AT39), ISBLANK(Z35:Z39),ISBLANK(AX35:AX39)), "·", bdRateExtend( V35:V39,Z35:Z39, AT35:AT39,AX35:AX39))</f>
        <v>8.3718963478651043E-2</v>
      </c>
      <c r="BN35" s="51">
        <f>IF( OR(ISBLANK(V35:V39),ISBLANK(AT35:AT39), ISBLANK(AA35:AA39),ISBLANK(AY35:AY39)), "·", bdRateExtend( V35:V39,AA35:AA39, AT35:AT39,AY35:AY39))</f>
        <v>6.6989764103242644E-2</v>
      </c>
      <c r="BP35" s="51">
        <f>IF( OR(ISBLANK(S35:S39),ISBLANK(AQ35:AQ39), ISBLANK(W35:W39),ISBLANK(AU35:AU39)), "·", bdRateExtend( S35:S39,W35:W39, AQ35:AQ39,AU35:AU39))</f>
        <v>6.8200487387001241E-2</v>
      </c>
      <c r="BQ35" s="51">
        <f>IF( OR(ISBLANK(S35:S39),ISBLANK(AQ35:AQ39), ISBLANK(X35:X39),ISBLANK(AV35:AV39)), "·", bdRateExtend( S35:S39,X35:X39, AQ35:AQ39,AV35:AV39))</f>
        <v>9.2691434346052981E-2</v>
      </c>
      <c r="BR35" s="51">
        <f>IF( OR(ISBLANK(S35:S39),ISBLANK(AQ35:AQ39), ISBLANK(Y35:Y39),ISBLANK(AW35:AW39)), "·", bdRateExtend( S35:S39,Y35:Y39, AQ35:AQ39,AW35:AW39))</f>
        <v>6.7067485350972955E-2</v>
      </c>
      <c r="BS35" s="51">
        <f>IF( OR(ISBLANK(S35:S39),ISBLANK(AQ35:AQ39), ISBLANK(Z35:Z39),ISBLANK(AX35:AX39)), "·", bdRateExtend( S35:S39,Z35:Z39, AQ35:AQ39,AX35:AX39))</f>
        <v>9.1296856508607194E-2</v>
      </c>
      <c r="BT35" s="51">
        <f>IF( OR(ISBLANK(S35:S39),ISBLANK(AQ35:AQ39), ISBLANK(AA35:AA39),ISBLANK(AY35:AY39)), "·", bdRateExtend( S35:S39,AA35:AA39, AQ35:AQ39,AY35:AY39))</f>
        <v>8.0406631686056773E-2</v>
      </c>
    </row>
    <row r="36" spans="1:72" outlineLevel="1" x14ac:dyDescent="0.45">
      <c r="A36" s="18"/>
      <c r="B36" s="18" t="s">
        <v>80</v>
      </c>
      <c r="C36" s="19" t="s">
        <v>231</v>
      </c>
      <c r="D36" s="18">
        <v>333190689</v>
      </c>
      <c r="E36" s="19">
        <v>11</v>
      </c>
      <c r="F36" s="19">
        <v>32</v>
      </c>
      <c r="G36" s="19">
        <v>30</v>
      </c>
      <c r="I36" s="20">
        <f t="shared" si="0"/>
        <v>6.2390774999999996</v>
      </c>
      <c r="J36" s="21">
        <f t="shared" si="1"/>
        <v>1.9973595360583442E-2</v>
      </c>
      <c r="K36" s="21">
        <f t="shared" si="2"/>
        <v>1.3755462416298193E-2</v>
      </c>
      <c r="L36" s="21">
        <f t="shared" si="3"/>
        <v>9.7357342419613652E-3</v>
      </c>
      <c r="M36" s="21">
        <f t="shared" si="4"/>
        <v>6.2181329442852467E-3</v>
      </c>
      <c r="N36" s="18">
        <f t="shared" si="5"/>
        <v>4583192</v>
      </c>
      <c r="O36" s="21">
        <v>16</v>
      </c>
      <c r="P36" s="22">
        <v>79976742</v>
      </c>
      <c r="Q36" s="22">
        <v>2499273.1875</v>
      </c>
      <c r="R36" s="22">
        <v>39105.5</v>
      </c>
      <c r="S36" s="23">
        <v>6655016</v>
      </c>
      <c r="T36" s="23">
        <v>3243856</v>
      </c>
      <c r="U36" s="23">
        <v>1339336</v>
      </c>
      <c r="V36" s="23">
        <v>2071824</v>
      </c>
      <c r="W36" s="24">
        <v>74.938500000000005</v>
      </c>
      <c r="X36" s="24">
        <v>77.355887499999994</v>
      </c>
      <c r="Y36" s="24">
        <v>34.034599999999998</v>
      </c>
      <c r="Z36" s="24">
        <v>42.972334375000003</v>
      </c>
      <c r="AA36" s="24">
        <v>44.820353124999997</v>
      </c>
      <c r="AB36" s="25">
        <v>3626.11</v>
      </c>
      <c r="AC36" s="25">
        <v>34587</v>
      </c>
      <c r="AD36" s="25">
        <v>158.124</v>
      </c>
      <c r="AE36" s="25">
        <v>114.232</v>
      </c>
      <c r="AG36" s="20">
        <f t="shared" si="6"/>
        <v>6.8102625000000003</v>
      </c>
      <c r="AH36" s="21">
        <f t="shared" si="7"/>
        <v>2.1802169867958104E-2</v>
      </c>
      <c r="AI36" s="21">
        <f t="shared" si="8"/>
        <v>1.507674783793253E-2</v>
      </c>
      <c r="AJ36" s="21">
        <f t="shared" si="9"/>
        <v>1.016165250644204E-2</v>
      </c>
      <c r="AK36" s="21">
        <f t="shared" si="10"/>
        <v>6.7254220300255749E-3</v>
      </c>
      <c r="AL36" s="18">
        <f t="shared" si="11"/>
        <v>5023432</v>
      </c>
      <c r="AM36" s="21">
        <v>16</v>
      </c>
      <c r="AN36" s="22">
        <v>80997214</v>
      </c>
      <c r="AO36" s="22">
        <v>2531162.9375</v>
      </c>
      <c r="AP36" s="22">
        <v>54283.875</v>
      </c>
      <c r="AQ36" s="23">
        <v>7264280</v>
      </c>
      <c r="AR36" s="23">
        <v>3385768</v>
      </c>
      <c r="AS36" s="23">
        <v>1637664</v>
      </c>
      <c r="AT36" s="23">
        <v>2240848</v>
      </c>
      <c r="AU36" s="24">
        <v>75.012718750000005</v>
      </c>
      <c r="AV36" s="24">
        <v>77.336146874999997</v>
      </c>
      <c r="AW36" s="24">
        <v>34.101087499999998</v>
      </c>
      <c r="AX36" s="24">
        <v>42.953000000000003</v>
      </c>
      <c r="AY36" s="24">
        <v>44.852649999999997</v>
      </c>
      <c r="AZ36" s="25">
        <v>4281.9399999999996</v>
      </c>
      <c r="BA36" s="25">
        <v>31829.7</v>
      </c>
      <c r="BB36" s="25">
        <v>188.85900000000001</v>
      </c>
      <c r="BC36" s="25">
        <v>131.97900000000001</v>
      </c>
      <c r="BE36" s="50">
        <f t="shared" si="12"/>
        <v>1.0960553256333141</v>
      </c>
      <c r="BF36" s="26">
        <f t="shared" si="13"/>
        <v>5.799470224437879E-3</v>
      </c>
      <c r="BG36" s="26">
        <f t="shared" si="14"/>
        <v>2.8427651515111618E-3</v>
      </c>
      <c r="BH36" s="26"/>
      <c r="BJ36" s="50"/>
      <c r="BK36" s="50"/>
      <c r="BL36" s="50"/>
      <c r="BM36" s="50"/>
      <c r="BN36" s="50"/>
      <c r="BP36" s="50"/>
      <c r="BQ36" s="50"/>
      <c r="BR36" s="50"/>
      <c r="BS36" s="50"/>
      <c r="BT36" s="50"/>
    </row>
    <row r="37" spans="1:72" outlineLevel="1" x14ac:dyDescent="0.45">
      <c r="A37" s="54"/>
      <c r="B37" s="54" t="s">
        <v>80</v>
      </c>
      <c r="C37" s="10" t="s">
        <v>232</v>
      </c>
      <c r="D37" s="54">
        <v>333190689</v>
      </c>
      <c r="E37" s="10">
        <v>11</v>
      </c>
      <c r="F37" s="10">
        <v>32</v>
      </c>
      <c r="G37" s="10">
        <v>30</v>
      </c>
      <c r="I37" s="11">
        <f t="shared" si="0"/>
        <v>8.9012700000000002</v>
      </c>
      <c r="J37" s="12">
        <f t="shared" si="1"/>
        <v>2.8496258489384137E-2</v>
      </c>
      <c r="K37" s="12">
        <f t="shared" si="2"/>
        <v>1.7446345867125956E-2</v>
      </c>
      <c r="L37" s="12">
        <f t="shared" si="3"/>
        <v>1.3426617692789128E-2</v>
      </c>
      <c r="M37" s="12">
        <f t="shared" si="4"/>
        <v>1.1049912622258181E-2</v>
      </c>
      <c r="N37" s="54">
        <f t="shared" si="5"/>
        <v>5812960</v>
      </c>
      <c r="O37" s="12">
        <v>16</v>
      </c>
      <c r="P37" s="13">
        <v>81787481</v>
      </c>
      <c r="Q37" s="13">
        <v>2555858.78125</v>
      </c>
      <c r="R37" s="13">
        <v>42911.78125</v>
      </c>
      <c r="S37" s="14">
        <v>9494688</v>
      </c>
      <c r="T37" s="14">
        <v>4473624</v>
      </c>
      <c r="U37" s="14">
        <v>1339336</v>
      </c>
      <c r="V37" s="14">
        <v>3681728</v>
      </c>
      <c r="W37" s="15">
        <v>76.246068750000006</v>
      </c>
      <c r="X37" s="15">
        <v>78.937634375000002</v>
      </c>
      <c r="Y37" s="15">
        <v>36.127487500000001</v>
      </c>
      <c r="Z37" s="15">
        <v>43.536346875</v>
      </c>
      <c r="AA37" s="15">
        <v>46.109228125000001</v>
      </c>
      <c r="AB37" s="16">
        <v>3906.86</v>
      </c>
      <c r="AC37" s="16">
        <v>44850.9</v>
      </c>
      <c r="AD37" s="16">
        <v>169.304</v>
      </c>
      <c r="AE37" s="16">
        <v>143.78</v>
      </c>
      <c r="AG37" s="11">
        <f t="shared" si="6"/>
        <v>9.6653549999999999</v>
      </c>
      <c r="AH37" s="12">
        <f t="shared" si="7"/>
        <v>3.0942377264329857E-2</v>
      </c>
      <c r="AI37" s="12">
        <f t="shared" si="8"/>
        <v>1.9040195928164128E-2</v>
      </c>
      <c r="AJ37" s="12">
        <f t="shared" si="9"/>
        <v>1.4125100596673636E-2</v>
      </c>
      <c r="AK37" s="12">
        <f t="shared" si="10"/>
        <v>1.190218133616573E-2</v>
      </c>
      <c r="AL37" s="54">
        <f t="shared" si="11"/>
        <v>6344016</v>
      </c>
      <c r="AM37" s="12">
        <v>16</v>
      </c>
      <c r="AN37" s="13">
        <v>82925999</v>
      </c>
      <c r="AO37" s="13">
        <v>2591437.46875</v>
      </c>
      <c r="AP37" s="13">
        <v>59303.1875</v>
      </c>
      <c r="AQ37" s="14">
        <v>10309712</v>
      </c>
      <c r="AR37" s="14">
        <v>4706352</v>
      </c>
      <c r="AS37" s="14">
        <v>1637664</v>
      </c>
      <c r="AT37" s="14">
        <v>3965696</v>
      </c>
      <c r="AU37" s="15">
        <v>76.340924999999999</v>
      </c>
      <c r="AV37" s="15">
        <v>78.922962499999997</v>
      </c>
      <c r="AW37" s="15">
        <v>36.223212500000002</v>
      </c>
      <c r="AX37" s="15">
        <v>43.525562499999999</v>
      </c>
      <c r="AY37" s="15">
        <v>46.027918749999998</v>
      </c>
      <c r="AZ37" s="16">
        <v>3646.88</v>
      </c>
      <c r="BA37" s="16">
        <v>39133.199999999997</v>
      </c>
      <c r="BB37" s="16">
        <v>212.59100000000001</v>
      </c>
      <c r="BC37" s="16">
        <v>160.887</v>
      </c>
      <c r="BE37" s="51">
        <f t="shared" si="12"/>
        <v>1.0913572431257055</v>
      </c>
      <c r="BF37" s="17">
        <f t="shared" si="13"/>
        <v>6.0947082144263802E-3</v>
      </c>
      <c r="BG37" s="17">
        <f t="shared" si="14"/>
        <v>3.1108070304206592E-3</v>
      </c>
      <c r="BH37" s="17"/>
      <c r="BJ37" s="51"/>
      <c r="BK37" s="51"/>
      <c r="BL37" s="51"/>
      <c r="BM37" s="51"/>
      <c r="BN37" s="51"/>
      <c r="BP37" s="51"/>
      <c r="BQ37" s="51"/>
      <c r="BR37" s="51"/>
      <c r="BS37" s="51"/>
      <c r="BT37" s="51"/>
    </row>
    <row r="38" spans="1:72" outlineLevel="1" x14ac:dyDescent="0.45">
      <c r="A38" s="18"/>
      <c r="B38" s="18" t="s">
        <v>80</v>
      </c>
      <c r="C38" s="19" t="s">
        <v>233</v>
      </c>
      <c r="D38" s="18">
        <v>333190689</v>
      </c>
      <c r="E38" s="19">
        <v>11</v>
      </c>
      <c r="F38" s="19">
        <v>32</v>
      </c>
      <c r="G38" s="19">
        <v>30</v>
      </c>
      <c r="I38" s="20">
        <f t="shared" si="0"/>
        <v>14.406495</v>
      </c>
      <c r="J38" s="21">
        <f t="shared" si="1"/>
        <v>4.6120520492696E-2</v>
      </c>
      <c r="K38" s="21">
        <f t="shared" si="2"/>
        <v>2.3715596686436816E-2</v>
      </c>
      <c r="L38" s="21">
        <f t="shared" si="3"/>
        <v>1.9695868512099989E-2</v>
      </c>
      <c r="M38" s="21">
        <f t="shared" si="4"/>
        <v>2.2404923806259185E-2</v>
      </c>
      <c r="N38" s="18">
        <f t="shared" si="5"/>
        <v>7901816</v>
      </c>
      <c r="O38" s="21">
        <v>16</v>
      </c>
      <c r="P38" s="22">
        <v>83859347</v>
      </c>
      <c r="Q38" s="22">
        <v>2620604.59375</v>
      </c>
      <c r="R38" s="22">
        <v>48103.65625</v>
      </c>
      <c r="S38" s="23">
        <v>15366928</v>
      </c>
      <c r="T38" s="23">
        <v>6562480</v>
      </c>
      <c r="U38" s="23">
        <v>1339336</v>
      </c>
      <c r="V38" s="23">
        <v>7465112</v>
      </c>
      <c r="W38" s="24">
        <v>77.415709375000006</v>
      </c>
      <c r="X38" s="24">
        <v>80.131399999999999</v>
      </c>
      <c r="Y38" s="24">
        <v>38.083593749999999</v>
      </c>
      <c r="Z38" s="24">
        <v>44.197806249999999</v>
      </c>
      <c r="AA38" s="24">
        <v>47.240556249999997</v>
      </c>
      <c r="AB38" s="25">
        <v>3488.5</v>
      </c>
      <c r="AC38" s="25">
        <v>26109.599999999999</v>
      </c>
      <c r="AD38" s="25">
        <v>199.28700000000001</v>
      </c>
      <c r="AE38" s="25">
        <v>163.999</v>
      </c>
      <c r="AG38" s="20">
        <f t="shared" si="6"/>
        <v>15.535102500000001</v>
      </c>
      <c r="AH38" s="21">
        <f t="shared" si="7"/>
        <v>4.9733610653207659E-2</v>
      </c>
      <c r="AI38" s="21">
        <f t="shared" si="8"/>
        <v>2.5802329668341964E-2</v>
      </c>
      <c r="AJ38" s="21">
        <f t="shared" si="9"/>
        <v>2.0887234336851471E-2</v>
      </c>
      <c r="AK38" s="21">
        <f t="shared" si="10"/>
        <v>2.3931280984865695E-2</v>
      </c>
      <c r="AL38" s="18">
        <f t="shared" si="11"/>
        <v>8597096</v>
      </c>
      <c r="AM38" s="21">
        <v>16</v>
      </c>
      <c r="AN38" s="22">
        <v>85383588</v>
      </c>
      <c r="AO38" s="22">
        <v>2668237.125</v>
      </c>
      <c r="AP38" s="22">
        <v>67209.90625</v>
      </c>
      <c r="AQ38" s="23">
        <v>16570776</v>
      </c>
      <c r="AR38" s="23">
        <v>6959432</v>
      </c>
      <c r="AS38" s="23">
        <v>1637664</v>
      </c>
      <c r="AT38" s="23">
        <v>7973680</v>
      </c>
      <c r="AU38" s="24">
        <v>77.388084375000005</v>
      </c>
      <c r="AV38" s="24">
        <v>80.093837500000006</v>
      </c>
      <c r="AW38" s="24">
        <v>38.175315625000003</v>
      </c>
      <c r="AX38" s="24">
        <v>44.189162500000002</v>
      </c>
      <c r="AY38" s="24">
        <v>47.295418750000003</v>
      </c>
      <c r="AZ38" s="25">
        <v>3465.82</v>
      </c>
      <c r="BA38" s="25">
        <v>41601</v>
      </c>
      <c r="BB38" s="25">
        <v>302.64100000000002</v>
      </c>
      <c r="BC38" s="25">
        <v>202.221</v>
      </c>
      <c r="BE38" s="50">
        <f t="shared" si="12"/>
        <v>1.0879899000432307</v>
      </c>
      <c r="BF38" s="26">
        <f t="shared" si="13"/>
        <v>6.8329422539487455E-3</v>
      </c>
      <c r="BG38" s="26">
        <f t="shared" si="14"/>
        <v>4.6014902183711959E-3</v>
      </c>
      <c r="BH38" s="26"/>
      <c r="BJ38" s="50"/>
      <c r="BK38" s="50"/>
      <c r="BL38" s="50"/>
      <c r="BM38" s="50"/>
      <c r="BN38" s="50"/>
      <c r="BP38" s="50"/>
      <c r="BQ38" s="50"/>
      <c r="BR38" s="50"/>
      <c r="BS38" s="50"/>
      <c r="BT38" s="50"/>
    </row>
    <row r="39" spans="1:72" outlineLevel="1" x14ac:dyDescent="0.45">
      <c r="A39" s="27"/>
      <c r="B39" s="27" t="s">
        <v>80</v>
      </c>
      <c r="C39" s="28" t="s">
        <v>234</v>
      </c>
      <c r="D39" s="27">
        <v>333190689</v>
      </c>
      <c r="E39" s="28">
        <v>11</v>
      </c>
      <c r="F39" s="28">
        <v>32</v>
      </c>
      <c r="G39" s="28">
        <v>30</v>
      </c>
      <c r="I39" s="29">
        <f t="shared" si="0"/>
        <v>28.640317499999998</v>
      </c>
      <c r="J39" s="30">
        <f t="shared" si="1"/>
        <v>9.168825242892667E-2</v>
      </c>
      <c r="K39" s="30">
        <f t="shared" si="2"/>
        <v>3.8473536095722051E-2</v>
      </c>
      <c r="L39" s="30">
        <f t="shared" si="3"/>
        <v>3.036807550165365E-2</v>
      </c>
      <c r="M39" s="30">
        <f t="shared" si="4"/>
        <v>5.3214716333204619E-2</v>
      </c>
      <c r="N39" s="27">
        <f t="shared" si="5"/>
        <v>12819024</v>
      </c>
      <c r="O39" s="30">
        <v>16</v>
      </c>
      <c r="P39" s="31">
        <v>82067544</v>
      </c>
      <c r="Q39" s="31">
        <v>2564610.75</v>
      </c>
      <c r="R39" s="31">
        <v>19264.46875</v>
      </c>
      <c r="S39" s="32">
        <v>30549672</v>
      </c>
      <c r="T39" s="32">
        <v>10118360</v>
      </c>
      <c r="U39" s="32">
        <v>2700664</v>
      </c>
      <c r="V39" s="32">
        <v>17730648</v>
      </c>
      <c r="W39" s="33">
        <v>78.311515624999998</v>
      </c>
      <c r="X39" s="33">
        <v>81.848193749999993</v>
      </c>
      <c r="Y39" s="33">
        <v>40.159621874999999</v>
      </c>
      <c r="Z39" s="33">
        <v>45.117593749999997</v>
      </c>
      <c r="AA39" s="33">
        <v>48.624606249999999</v>
      </c>
      <c r="AB39" s="34">
        <v>3786.17</v>
      </c>
      <c r="AC39" s="34">
        <v>46498.6</v>
      </c>
      <c r="AD39" s="34">
        <v>267.81599999999997</v>
      </c>
      <c r="AE39" s="34">
        <v>193.672</v>
      </c>
      <c r="AG39" s="29">
        <f t="shared" si="6"/>
        <v>30.636134999999999</v>
      </c>
      <c r="AH39" s="30">
        <f t="shared" si="7"/>
        <v>9.8077602642731715E-2</v>
      </c>
      <c r="AI39" s="30">
        <f t="shared" si="8"/>
        <v>4.2540468470293899E-2</v>
      </c>
      <c r="AJ39" s="30">
        <f t="shared" si="9"/>
        <v>3.2349595459433743E-2</v>
      </c>
      <c r="AK39" s="30">
        <f t="shared" si="10"/>
        <v>5.5537134172437816E-2</v>
      </c>
      <c r="AL39" s="27">
        <f t="shared" si="11"/>
        <v>14174088</v>
      </c>
      <c r="AM39" s="30">
        <v>16</v>
      </c>
      <c r="AN39" s="31">
        <v>82870106</v>
      </c>
      <c r="AO39" s="31">
        <v>2589690.8125</v>
      </c>
      <c r="AP39" s="31">
        <v>28461.53125</v>
      </c>
      <c r="AQ39" s="32">
        <v>32678544</v>
      </c>
      <c r="AR39" s="32">
        <v>10778584</v>
      </c>
      <c r="AS39" s="32">
        <v>3395504</v>
      </c>
      <c r="AT39" s="32">
        <v>18504456</v>
      </c>
      <c r="AU39" s="33">
        <v>78.468387500000006</v>
      </c>
      <c r="AV39" s="33">
        <v>81.852253125000004</v>
      </c>
      <c r="AW39" s="33">
        <v>40.218387499999999</v>
      </c>
      <c r="AX39" s="33">
        <v>45.136724999999998</v>
      </c>
      <c r="AY39" s="33">
        <v>48.644465625000002</v>
      </c>
      <c r="AZ39" s="34">
        <v>4354.1400000000003</v>
      </c>
      <c r="BA39" s="34">
        <v>52938.8</v>
      </c>
      <c r="BB39" s="34">
        <v>296.858</v>
      </c>
      <c r="BC39" s="34">
        <v>207.422</v>
      </c>
      <c r="BE39" s="35">
        <f t="shared" si="12"/>
        <v>1.1057072675735689</v>
      </c>
      <c r="BF39" s="36">
        <f t="shared" si="13"/>
        <v>3.4786661416252862E-3</v>
      </c>
      <c r="BG39" s="36">
        <f t="shared" si="14"/>
        <v>1.4130455591010449E-2</v>
      </c>
      <c r="BH39" s="36"/>
      <c r="BJ39" s="35"/>
      <c r="BK39" s="35"/>
      <c r="BL39" s="35"/>
      <c r="BM39" s="35"/>
      <c r="BN39" s="35"/>
      <c r="BP39" s="35"/>
      <c r="BQ39" s="35"/>
      <c r="BR39" s="35"/>
      <c r="BS39" s="35"/>
      <c r="BT39" s="35"/>
    </row>
    <row r="40" spans="1:72" x14ac:dyDescent="0.45">
      <c r="B40" s="47" t="s">
        <v>14</v>
      </c>
      <c r="J40" s="48">
        <f>AVERAGE(J5:J24)</f>
        <v>1.7607443125499909E-2</v>
      </c>
      <c r="K40" s="48">
        <f>AVERAGE(K5:K24)</f>
        <v>9.5321793276372524E-3</v>
      </c>
      <c r="L40" s="48">
        <f>AVERAGE(L5:L24)</f>
        <v>6.9516832599163803E-3</v>
      </c>
      <c r="M40" s="48">
        <f>AVERAGE(M5:M24)</f>
        <v>8.0752637978626605E-3</v>
      </c>
      <c r="AH40" s="48">
        <f>AVERAGE(AH5:AH24)</f>
        <v>1.9470927621236787E-2</v>
      </c>
      <c r="AI40" s="48">
        <f>AVERAGE(AI5:AI24)</f>
        <v>1.0759697452027204E-2</v>
      </c>
      <c r="AJ40" s="48">
        <f>AVERAGE(AJ5:AJ24)</f>
        <v>7.5239076750083398E-3</v>
      </c>
      <c r="AK40" s="48">
        <f>AVERAGE(AK5:AK24)</f>
        <v>8.7112301692095807E-3</v>
      </c>
      <c r="BE40" s="52">
        <f t="shared" si="12"/>
        <v>1.1287762307231182</v>
      </c>
      <c r="BH40" s="55">
        <f>AVERAGE(BH5:BH24)</f>
        <v>3.8386005820695013E-3</v>
      </c>
      <c r="BJ40" s="52">
        <f>AVERAGE(BJ5:BJ24)</f>
        <v>0.12127432327801091</v>
      </c>
      <c r="BK40" s="52">
        <f>AVERAGE(BK5:BK24)</f>
        <v>0.13369740289353432</v>
      </c>
      <c r="BL40" s="52">
        <f>AVERAGE(BL5:BL24)</f>
        <v>7.0554956212692588E-2</v>
      </c>
      <c r="BM40" s="52">
        <f>AVERAGE(BM5:BM24)</f>
        <v>0.10476170898206721</v>
      </c>
      <c r="BN40" s="52">
        <f>AVERAGE(BN5:BN24)</f>
        <v>8.5530987234454736E-2</v>
      </c>
      <c r="BP40" s="52">
        <f>AVERAGE(BP5:BP24)</f>
        <v>0.11501736179541244</v>
      </c>
      <c r="BQ40" s="52">
        <f>AVERAGE(BQ5:BQ24)</f>
        <v>0.12992118449449452</v>
      </c>
      <c r="BR40" s="52">
        <f>AVERAGE(BR5:BR24)</f>
        <v>9.0544525487319394E-2</v>
      </c>
      <c r="BS40" s="52">
        <f>AVERAGE(BS5:BS24)</f>
        <v>0.1080422407997027</v>
      </c>
      <c r="BT40" s="52">
        <f>AVERAGE(BT5:BT24)</f>
        <v>9.7729582385524649E-2</v>
      </c>
    </row>
    <row r="41" spans="1:72" x14ac:dyDescent="0.45">
      <c r="B41" s="47" t="s">
        <v>15</v>
      </c>
      <c r="J41" s="48">
        <f>AVERAGE(J25:J29)</f>
        <v>3.8177977020693157E-2</v>
      </c>
      <c r="K41" s="48">
        <f>AVERAGE(K25:K29)</f>
        <v>1.1417285892349041E-2</v>
      </c>
      <c r="L41" s="48">
        <f>AVERAGE(L25:L29)</f>
        <v>8.7672756735900897E-3</v>
      </c>
      <c r="M41" s="48">
        <f>AVERAGE(M25:M29)</f>
        <v>2.6760691128344116E-2</v>
      </c>
      <c r="AH41" s="48">
        <f>AVERAGE(AH25:AH29)</f>
        <v>4.3283826255575919E-2</v>
      </c>
      <c r="AI41" s="48">
        <f>AVERAGE(AI25:AI29)</f>
        <v>1.4002214398711993E-2</v>
      </c>
      <c r="AJ41" s="48">
        <f>AVERAGE(AJ25:AJ29)</f>
        <v>1.0098807492365136E-2</v>
      </c>
      <c r="AK41" s="48">
        <f>AVERAGE(AK25:AK29)</f>
        <v>2.9281611856863926E-2</v>
      </c>
      <c r="BE41" s="52">
        <f t="shared" si="12"/>
        <v>1.2264048155345892</v>
      </c>
      <c r="BH41" s="55">
        <f>AVERAGE(BH25:BH29)</f>
        <v>1.7349552512592514E-2</v>
      </c>
      <c r="BJ41" s="52">
        <f>AVERAGE(BJ25:BJ29)</f>
        <v>0.21831341381871949</v>
      </c>
      <c r="BK41" s="52">
        <f>AVERAGE(BK25:BK29)</f>
        <v>0.2509071566239236</v>
      </c>
      <c r="BL41" s="52">
        <f>AVERAGE(BL25:BL29)</f>
        <v>6.3434046278775913E-2</v>
      </c>
      <c r="BM41" s="52">
        <f>AVERAGE(BM25:BM29)</f>
        <v>4.7728125824909595E-2</v>
      </c>
      <c r="BN41" s="52">
        <f>AVERAGE(BN25:BN29)</f>
        <v>4.0137369693296066E-2</v>
      </c>
      <c r="BP41" s="52">
        <f>AVERAGE(BP25:BP29)</f>
        <v>0.17392831556147303</v>
      </c>
      <c r="BQ41" s="52">
        <f>AVERAGE(BQ25:BQ29)</f>
        <v>0.22122888177735356</v>
      </c>
      <c r="BR41" s="52">
        <f>AVERAGE(BR25:BR29)</f>
        <v>0.10886694701273414</v>
      </c>
      <c r="BS41" s="52">
        <f>AVERAGE(BS25:BS29)</f>
        <v>9.5018616429985103E-2</v>
      </c>
      <c r="BT41" s="52">
        <f>AVERAGE(BT25:BT29)</f>
        <v>8.9043048285748494E-2</v>
      </c>
    </row>
    <row r="42" spans="1:72" x14ac:dyDescent="0.45">
      <c r="B42" s="47" t="s">
        <v>16</v>
      </c>
      <c r="J42" s="48">
        <f>AVERAGE(J30:J39)</f>
        <v>3.5024046893903718E-2</v>
      </c>
      <c r="K42" s="48">
        <f>AVERAGE(K30:K39)</f>
        <v>1.8600416961661072E-2</v>
      </c>
      <c r="L42" s="48">
        <f>AVERAGE(L30:L39)</f>
        <v>1.4301451090252094E-2</v>
      </c>
      <c r="M42" s="48">
        <f>AVERAGE(M30:M39)</f>
        <v>1.6423629932242643E-2</v>
      </c>
      <c r="AH42" s="48">
        <f>AVERAGE(AH30:AH39)</f>
        <v>3.7877545162443092E-2</v>
      </c>
      <c r="AI42" s="48">
        <f>AVERAGE(AI30:AI39)</f>
        <v>2.0466357845404619E-2</v>
      </c>
      <c r="AJ42" s="48">
        <f>AVERAGE(AJ30:AJ39)</f>
        <v>1.5192334141818583E-2</v>
      </c>
      <c r="AK42" s="48">
        <f>AVERAGE(AK30:AK39)</f>
        <v>1.741118731703848E-2</v>
      </c>
      <c r="BE42" s="52">
        <f t="shared" si="12"/>
        <v>1.1003171535127196</v>
      </c>
      <c r="BH42" s="55">
        <f>AVERAGE(BH30:BH39)</f>
        <v>4.4623015898225815E-3</v>
      </c>
      <c r="BJ42" s="52">
        <f>AVERAGE(BJ30:BJ39)</f>
        <v>8.7224327864002027E-2</v>
      </c>
      <c r="BK42" s="52">
        <f>AVERAGE(BK30:BK39)</f>
        <v>0.10383235221294385</v>
      </c>
      <c r="BL42" s="52">
        <f>AVERAGE(BL30:BL39)</f>
        <v>5.2610187570036882E-2</v>
      </c>
      <c r="BM42" s="52">
        <f>AVERAGE(BM30:BM39)</f>
        <v>8.9479994900015791E-2</v>
      </c>
      <c r="BN42" s="52">
        <f>AVERAGE(BN30:BN39)</f>
        <v>6.3215125478561007E-2</v>
      </c>
      <c r="BP42" s="52">
        <f>AVERAGE(BP30:BP39)</f>
        <v>7.7071951619899215E-2</v>
      </c>
      <c r="BQ42" s="52">
        <f>AVERAGE(BQ30:BQ39)</f>
        <v>9.9039597899063914E-2</v>
      </c>
      <c r="BR42" s="52">
        <f>AVERAGE(BR30:BR39)</f>
        <v>6.9873449459181391E-2</v>
      </c>
      <c r="BS42" s="52">
        <f>AVERAGE(BS30:BS39)</f>
        <v>9.3283001908474938E-2</v>
      </c>
      <c r="BT42" s="52">
        <f>AVERAGE(BT30:BT39)</f>
        <v>7.7024790334269233E-2</v>
      </c>
    </row>
    <row r="43" spans="1:72" collapsed="1" x14ac:dyDescent="0.45">
      <c r="B43" s="47" t="s">
        <v>17</v>
      </c>
      <c r="J43" s="48">
        <f>AVERAGE(J5:J39)</f>
        <v>2.552226333007146E-2</v>
      </c>
      <c r="K43" s="48">
        <f>AVERAGE(K5:K39)</f>
        <v>1.2392405303745741E-2</v>
      </c>
      <c r="L43" s="48">
        <f>AVERAGE(L5:L39)</f>
        <v>9.3109872705371133E-3</v>
      </c>
      <c r="M43" s="48">
        <f>AVERAGE(M5:M39)</f>
        <v>1.3129858026325721E-2</v>
      </c>
      <c r="AH43" s="48">
        <f>AVERAGE(AH5:AH39)</f>
        <v>2.8131803866487039E-2</v>
      </c>
      <c r="AI43" s="48">
        <f>AVERAGE(AI5:AI39)</f>
        <v>1.3996245699661436E-2</v>
      </c>
      <c r="AJ43" s="48">
        <f>AVERAGE(AJ5:AJ39)</f>
        <v>1.0082729496576523E-2</v>
      </c>
      <c r="AK43" s="48">
        <f>AVERAGE(AK5:AK39)</f>
        <v>1.41355581668256E-2</v>
      </c>
      <c r="BE43" s="52">
        <f t="shared" si="12"/>
        <v>1.1294212347485857</v>
      </c>
      <c r="BH43" s="55">
        <f>AVERAGE(BH5:BH39)</f>
        <v>5.9469368600736693E-3</v>
      </c>
      <c r="BJ43" s="52">
        <f>AVERAGE(BJ5:BJ39)</f>
        <v>0.12540848037982388</v>
      </c>
      <c r="BK43" s="52">
        <f>AVERAGE(BK5:BK39)</f>
        <v>0.14190878180342123</v>
      </c>
      <c r="BL43" s="52">
        <f>AVERAGE(BL5:BL39)</f>
        <v>6.4410606609945714E-2</v>
      </c>
      <c r="BM43" s="52">
        <f>AVERAGE(BM5:BM39)</f>
        <v>9.2247850221887154E-2</v>
      </c>
      <c r="BN43" s="52">
        <f>AVERAGE(BN5:BN39)</f>
        <v>7.2670224226890998E-2</v>
      </c>
      <c r="BP43" s="52">
        <f>AVERAGE(BP5:BP39)</f>
        <v>0.11259166656898875</v>
      </c>
      <c r="BQ43" s="52">
        <f>AVERAGE(BQ5:BQ39)</f>
        <v>0.13414183079335135</v>
      </c>
      <c r="BR43" s="52">
        <f>AVERAGE(BR5:BR39)</f>
        <v>8.7255992554339218E-2</v>
      </c>
      <c r="BS43" s="52">
        <f>AVERAGE(BS5:BS39)</f>
        <v>0.10196479763510655</v>
      </c>
      <c r="BT43" s="52">
        <f>AVERAGE(BT5:BT39)</f>
        <v>9.0572994070912224E-2</v>
      </c>
    </row>
    <row r="44" spans="1:72" hidden="1" outlineLevel="2" x14ac:dyDescent="0.45">
      <c r="A44" s="47" t="s">
        <v>237</v>
      </c>
      <c r="B44" s="47" t="s">
        <v>238</v>
      </c>
      <c r="AB44" s="49">
        <f>SUM(AB5:AB24,AB25:AB29,AB30:AB39)</f>
        <v>146873.10999999999</v>
      </c>
      <c r="AC44" s="49">
        <f>SUM(AC5:AC24,AC25:AC29,AC30:AC39)</f>
        <v>543147.20000000007</v>
      </c>
      <c r="AD44" s="49">
        <f>SUM(AD5:AD24,AD25:AD29,AD30:AD39)</f>
        <v>4047.0889999999995</v>
      </c>
      <c r="AE44" s="49">
        <f>SUM(AE5:AE24,AE25:AE29,AE30:AE39)</f>
        <v>2332.848</v>
      </c>
      <c r="AZ44" s="49">
        <f>SUM(AZ5:AZ24,AZ25:AZ29,AZ30:AZ39)</f>
        <v>135620.76000000004</v>
      </c>
      <c r="BA44" s="49">
        <f>SUM(BA5:BA24,BA25:BA29,BA30:BA39)</f>
        <v>544211.97000000009</v>
      </c>
      <c r="BB44" s="49">
        <f>SUM(BB5:BB24,BB25:BB29,BB30:BB39)</f>
        <v>4334.5790000000006</v>
      </c>
      <c r="BC44" s="49">
        <f>SUM(BC5:BC24,BC25:BC29,BC30:BC39)</f>
        <v>2429.4830000000002</v>
      </c>
    </row>
    <row r="45" spans="1:72" hidden="1" outlineLevel="2" x14ac:dyDescent="0.45">
      <c r="B45" s="47" t="s">
        <v>239</v>
      </c>
      <c r="AZ45" s="55">
        <f>AZ44/AB44</f>
        <v>0.92338726946001248</v>
      </c>
      <c r="BA45" s="55">
        <f>BA44/AC44</f>
        <v>1.0019603709638933</v>
      </c>
      <c r="BB45" s="55">
        <f>BB44/AD44</f>
        <v>1.071036243581498</v>
      </c>
      <c r="BC45" s="55">
        <f>BC44/AE44</f>
        <v>1.0414236161121515</v>
      </c>
    </row>
    <row r="46" spans="1:72" hidden="1" outlineLevel="2" x14ac:dyDescent="0.45">
      <c r="B46" s="47" t="s">
        <v>240</v>
      </c>
      <c r="AB46" s="49">
        <f>GEOMEAN(AB5:AB24,AB25:AB29,AB30:AB39)</f>
        <v>3974.7281393098428</v>
      </c>
      <c r="AC46" s="49">
        <f>GEOMEAN(AC5:AC24,AC25:AC29,AC30:AC39)</f>
        <v>12053.734620090623</v>
      </c>
      <c r="AD46" s="49">
        <f>GEOMEAN(AD5:AD24,AD25:AD29,AD30:AD39)</f>
        <v>102.4969585544037</v>
      </c>
      <c r="AE46" s="49">
        <f>GEOMEAN(AE5:AE24,AE25:AE29,AE30:AE39)</f>
        <v>50.84298217476158</v>
      </c>
      <c r="AZ46" s="49">
        <f>GEOMEAN(AZ5:AZ24,AZ25:AZ29,AZ30:AZ39)</f>
        <v>3639.0230698810437</v>
      </c>
      <c r="BA46" s="49">
        <f>GEOMEAN(BA5:BA24,BA25:BA29,BA30:BA39)</f>
        <v>10684.65432072056</v>
      </c>
      <c r="BB46" s="49">
        <f>GEOMEAN(BB5:BB24,BB25:BB29,BB30:BB39)</f>
        <v>106.27118285894441</v>
      </c>
      <c r="BC46" s="49">
        <f>GEOMEAN(BC5:BC24,BC25:BC29,BC30:BC39)</f>
        <v>50.879771031187246</v>
      </c>
    </row>
    <row r="47" spans="1:72" outlineLevel="2" collapsed="1" x14ac:dyDescent="0.45">
      <c r="B47" s="47" t="s">
        <v>241</v>
      </c>
      <c r="AZ47" s="55">
        <f>AZ46/AB46</f>
        <v>0.91554011805016433</v>
      </c>
      <c r="BA47" s="55">
        <f>BA46/AC46</f>
        <v>0.88641857959207582</v>
      </c>
      <c r="BB47" s="55">
        <f>BB46/AD46</f>
        <v>1.0368227931615883</v>
      </c>
      <c r="BC47" s="55">
        <f>BC46/AE46</f>
        <v>1.0007235778636905</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已命名的範圍</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mtk13818</cp:lastModifiedBy>
  <dcterms:created xsi:type="dcterms:W3CDTF">2019-04-23T13:57:55Z</dcterms:created>
  <dcterms:modified xsi:type="dcterms:W3CDTF">2019-10-22T05:49:05Z</dcterms:modified>
</cp:coreProperties>
</file>